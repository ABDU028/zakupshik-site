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едомость материалов" sheetId="1" state="visible" r:id="rId3"/>
    <sheet name="Объёмы" sheetId="2" state="visible" r:id="rId4"/>
  </sheets>
  <definedNames>
    <definedName function="false" hidden="true" localSheetId="0" name="_xlnm._FilterDatabase" vbProcedure="false">'Ведомость материалов'!$A$4:$N$214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<sst xmlns="http://schemas.openxmlformats.org/spreadsheetml/2006/main" count="1045" uniqueCount="483">
  <si>
    <t xml:space="preserve">Ведомость материалов · Квартира 56 м² · без цен</t>
  </si>
  <si>
    <t xml:space="preserve">Количество = объём × норма × (1 + запас), к покупке — с округлением вверх до целой упаковки. Синие ячейки можно менять. Колонки цен заполняет поставщик.</t>
  </si>
  <si>
    <t xml:space="preserve">№</t>
  </si>
  <si>
    <t xml:space="preserve">Материал</t>
  </si>
  <si>
    <t xml:space="preserve">Ед.</t>
  </si>
  <si>
    <t xml:space="preserve">Объём</t>
  </si>
  <si>
    <t xml:space="preserve">Основание</t>
  </si>
  <si>
    <t xml:space="preserve">Норма на ед.</t>
  </si>
  <si>
    <t xml:space="preserve">Запас</t>
  </si>
  <si>
    <t xml:space="preserve">Нужно</t>
  </si>
  <si>
    <t xml:space="preserve">Фасовка</t>
  </si>
  <si>
    <t xml:space="preserve">Ед. фасовки</t>
  </si>
  <si>
    <t xml:space="preserve">К покупке</t>
  </si>
  <si>
    <t xml:space="preserve">Примечание</t>
  </si>
  <si>
    <t xml:space="preserve">Цена за ед. фасовки</t>
  </si>
  <si>
    <t xml:space="preserve">Сумма</t>
  </si>
  <si>
    <t xml:space="preserve">1. Перегородки из ГКЛ (ПГ-1, ПГ-2)</t>
  </si>
  <si>
    <t xml:space="preserve">каркас ПС-75, ГКЛ 12,5 мм с двух сторон, минвата 50 мм</t>
  </si>
  <si>
    <t xml:space="preserve">ГКЛ 12,5 мм, лист 1200×3000</t>
  </si>
  <si>
    <t xml:space="preserve">м²</t>
  </si>
  <si>
    <t xml:space="preserve">Перегородки ГКЛ (ПГ-1, ПГ-2) за вычетом проёмов, м²</t>
  </si>
  <si>
    <t xml:space="preserve">лист</t>
  </si>
  <si>
    <t xml:space="preserve">2 стороны перегородки</t>
  </si>
  <si>
    <t xml:space="preserve">Профиль направляющий ПН-75, 3 м</t>
  </si>
  <si>
    <t xml:space="preserve">м</t>
  </si>
  <si>
    <t xml:space="preserve">Длина перегородок ГКЛ, м</t>
  </si>
  <si>
    <t xml:space="preserve">шт</t>
  </si>
  <si>
    <t xml:space="preserve">пол + потолок, перемычки над проёмами</t>
  </si>
  <si>
    <t xml:space="preserve">Профиль стоечный ПС-75, 3 м</t>
  </si>
  <si>
    <t xml:space="preserve">Стойки ПС-75: шаг 600 + 4 у проёмов, шт</t>
  </si>
  <si>
    <t xml:space="preserve">шаг 600 + 2 у каждого проёма</t>
  </si>
  <si>
    <t xml:space="preserve">Брус сухой 50×50 для усиления проёмов, 3 м</t>
  </si>
  <si>
    <t xml:space="preserve">по проекту</t>
  </si>
  <si>
    <t xml:space="preserve">по 3 на проём Д-2 и П-1</t>
  </si>
  <si>
    <t xml:space="preserve">Минвата акустическая 50 мм</t>
  </si>
  <si>
    <t xml:space="preserve">упак.</t>
  </si>
  <si>
    <t xml:space="preserve">упаковка ≈ 6 м²</t>
  </si>
  <si>
    <t xml:space="preserve">Лента демпферная 50 мм</t>
  </si>
  <si>
    <t xml:space="preserve">рулон</t>
  </si>
  <si>
    <t xml:space="preserve">под ПН и крайние ПС</t>
  </si>
  <si>
    <t xml:space="preserve">Дюбель-гвоздь 6×40</t>
  </si>
  <si>
    <t xml:space="preserve">крепление ПН и ПС к перекрытиям и стенам</t>
  </si>
  <si>
    <t xml:space="preserve">Саморез ГКЛ 3,5×25 по металлу</t>
  </si>
  <si>
    <t xml:space="preserve">≈ 30 шт на м² листа</t>
  </si>
  <si>
    <t xml:space="preserve">Саморез «клоп» 3,5×9,5 (металл-металл)</t>
  </si>
  <si>
    <t xml:space="preserve">Серпянка 50 мм, 45 м</t>
  </si>
  <si>
    <t xml:space="preserve">стыки листов и примыкания</t>
  </si>
  <si>
    <t xml:space="preserve">Шпаклёвка для швов ГКЛ (типа Фугенфюллер), 25 кг</t>
  </si>
  <si>
    <t xml:space="preserve">кг</t>
  </si>
  <si>
    <t xml:space="preserve">мешок</t>
  </si>
  <si>
    <t xml:space="preserve">Закладные из фанеры 15 мм под ТВ, кондиционер, полки</t>
  </si>
  <si>
    <t xml:space="preserve">лист 1525×1525</t>
  </si>
  <si>
    <t xml:space="preserve">2. Перегородки из газоблока (ПГ-3, ПГ-4)</t>
  </si>
  <si>
    <t xml:space="preserve">газоблок D500 100 мм на клею</t>
  </si>
  <si>
    <t xml:space="preserve">Газоблок D500 600×250×100</t>
  </si>
  <si>
    <t xml:space="preserve">Перегородки из газоблока (ПГ-3, ПГ-4), м²</t>
  </si>
  <si>
    <t xml:space="preserve">6,67 шт на м²</t>
  </si>
  <si>
    <t xml:space="preserve">Клей для газоблока, 25 кг</t>
  </si>
  <si>
    <t xml:space="preserve">≈ 25 кг на м³ кладки</t>
  </si>
  <si>
    <t xml:space="preserve">Арматура Ø8 А500 для армирования кладки</t>
  </si>
  <si>
    <t xml:space="preserve">Длина перегородок из газоблока, м</t>
  </si>
  <si>
    <t xml:space="preserve">прут 6 м</t>
  </si>
  <si>
    <t xml:space="preserve">каждый 3-й ряд, 2 прутка</t>
  </si>
  <si>
    <t xml:space="preserve">Пластины анкерные гибкие (связь со стенами)</t>
  </si>
  <si>
    <t xml:space="preserve">4 примыкания × 4 ряда</t>
  </si>
  <si>
    <t xml:space="preserve">Уголок стальной 63×5 (перемычка над Д-3)</t>
  </si>
  <si>
    <t xml:space="preserve">2 уголка по 1,1 м</t>
  </si>
  <si>
    <t xml:space="preserve">3. Стены: штукатурка и подготовка под покраску</t>
  </si>
  <si>
    <t xml:space="preserve">Грунт глубокого проникновения, 10 л</t>
  </si>
  <si>
    <t xml:space="preserve">л</t>
  </si>
  <si>
    <t xml:space="preserve">Грунтование: стены 2 раза, санузел, пол под стяжку и под покрытие, м²</t>
  </si>
  <si>
    <t xml:space="preserve">канистра</t>
  </si>
  <si>
    <t xml:space="preserve">Бетоноконтакт, 20 кг (по монолиту перед гипсовой штукатуркой)</t>
  </si>
  <si>
    <t xml:space="preserve">Гипсовая штукатурка: наружные стены и газоблок в сухих помещениях, м²</t>
  </si>
  <si>
    <t xml:space="preserve">ведро</t>
  </si>
  <si>
    <t xml:space="preserve">если стены монолит</t>
  </si>
  <si>
    <t xml:space="preserve">Штукатурка гипсовая, 30 кг</t>
  </si>
  <si>
    <t xml:space="preserve">средний слой 15 мм, 8,5 кг/м² на 10 мм</t>
  </si>
  <si>
    <t xml:space="preserve">Штукатурка цементная для санузла, 25 кг</t>
  </si>
  <si>
    <t xml:space="preserve">Цементная штукатурка в санузле, м²</t>
  </si>
  <si>
    <t xml:space="preserve">слой 10 мм под плитку</t>
  </si>
  <si>
    <t xml:space="preserve">Маяк штукатурный 6 мм, 3 м</t>
  </si>
  <si>
    <t xml:space="preserve">Длина оштукатуриваемых стен для маяков, м</t>
  </si>
  <si>
    <t xml:space="preserve">шаг 1,2 м</t>
  </si>
  <si>
    <t xml:space="preserve">Уголок перфорированный ПВХ с сеткой, 3 м</t>
  </si>
  <si>
    <t xml:space="preserve">Откосы дверей и окон, внешние углы под уголок, м</t>
  </si>
  <si>
    <t xml:space="preserve">откосы и внешние углы</t>
  </si>
  <si>
    <t xml:space="preserve">Сетка стеклотканевая 5×5 на стыки разных материалов</t>
  </si>
  <si>
    <t xml:space="preserve">стыки газоблока, ГКЛ и бетона</t>
  </si>
  <si>
    <t xml:space="preserve">Шпаклёвка финишная полимерная, 20 кг</t>
  </si>
  <si>
    <t xml:space="preserve">Стены под покраску (комнаты и прихожая минус проёмы и фартук), м²</t>
  </si>
  <si>
    <t xml:space="preserve">2 тонких слоя</t>
  </si>
  <si>
    <t xml:space="preserve">Стеклохолст малярный (паутинка) 40 г/м²</t>
  </si>
  <si>
    <t xml:space="preserve">против трещин под покраской, рекомендуем</t>
  </si>
  <si>
    <t xml:space="preserve">Клей для стеклохолста готовый, 10 кг</t>
  </si>
  <si>
    <t xml:space="preserve">Краска интерьерная матовая моющаяся, 9 л</t>
  </si>
  <si>
    <t xml:space="preserve">2 слоя по 0,12 л/м², колеровка грейж</t>
  </si>
  <si>
    <t xml:space="preserve">Герметик акриловый под покраску</t>
  </si>
  <si>
    <t xml:space="preserve">туба</t>
  </si>
  <si>
    <t xml:space="preserve">примыкания ГКЛ к стенам, откосы</t>
  </si>
  <si>
    <t xml:space="preserve">4. Полы: стяжка и покрытия</t>
  </si>
  <si>
    <t xml:space="preserve">Подложка звукоизоляционная под стяжку 5 мм</t>
  </si>
  <si>
    <t xml:space="preserve">Площадь пола всего, м²</t>
  </si>
  <si>
    <t xml:space="preserve">Плёнка полиэтиленовая 200 мкм</t>
  </si>
  <si>
    <t xml:space="preserve">нахлёст на стены 100 мм</t>
  </si>
  <si>
    <t xml:space="preserve">Лента демпферная для стяжки 10×100 мм</t>
  </si>
  <si>
    <t xml:space="preserve">Периметр всех помещений, м</t>
  </si>
  <si>
    <t xml:space="preserve">Смесь ЦПС М150 (пескобетон), 40 кг</t>
  </si>
  <si>
    <t xml:space="preserve">Стяжка: площадь × толщина (60 / 54 / 48 мм), м²·мм</t>
  </si>
  <si>
    <t xml:space="preserve">20 кг на м² при слое 10 мм; слой 48–60 мм</t>
  </si>
  <si>
    <t xml:space="preserve">Сетка кладочная 50×50×4, карта 0,5×2 м</t>
  </si>
  <si>
    <t xml:space="preserve">Стяжка с армированием (комнаты и прихожая), м²</t>
  </si>
  <si>
    <t xml:space="preserve">карта</t>
  </si>
  <si>
    <t xml:space="preserve">Маяк для стяжки 10 мм, 3 м</t>
  </si>
  <si>
    <t xml:space="preserve">Ламинат 33 класс, дуб натуральный</t>
  </si>
  <si>
    <t xml:space="preserve">Ламинат: спальня и кухня-гостиная, м²</t>
  </si>
  <si>
    <t xml:space="preserve">упаковка ≈ 2 м², уточнить по модели</t>
  </si>
  <si>
    <t xml:space="preserve">Подложка под ламинат 3 мм</t>
  </si>
  <si>
    <t xml:space="preserve">Плёнка пароизоляционная под ламинат</t>
  </si>
  <si>
    <t xml:space="preserve">на свежую стяжку</t>
  </si>
  <si>
    <t xml:space="preserve">Пробковый компенсатор на стыки покрытий</t>
  </si>
  <si>
    <t xml:space="preserve">проёмы Д-2, П-1, Д-3, без порогов</t>
  </si>
  <si>
    <t xml:space="preserve">5. Плитка и гидроизоляция</t>
  </si>
  <si>
    <t xml:space="preserve">Керамогранит 600×600 под бетон, прихожая</t>
  </si>
  <si>
    <t xml:space="preserve">Керамогранит 600×600: прихожая, м²</t>
  </si>
  <si>
    <t xml:space="preserve">коробка</t>
  </si>
  <si>
    <t xml:space="preserve">коробка 1,44 м²</t>
  </si>
  <si>
    <t xml:space="preserve">Керамогранит 300×600, пол санузла</t>
  </si>
  <si>
    <t xml:space="preserve">Керамогранит 300×600: пол санузла, м²</t>
  </si>
  <si>
    <t xml:space="preserve">запас 15%: маленькое помещение</t>
  </si>
  <si>
    <t xml:space="preserve">Керамогранит 300×600, стены санузла</t>
  </si>
  <si>
    <t xml:space="preserve">Остальные стены санузла, м²</t>
  </si>
  <si>
    <t xml:space="preserve">Плитка бежевая вертикальная, акцентная стена санузла</t>
  </si>
  <si>
    <t xml:space="preserve">Акцентная стена санузла (вертикальная плитка), м²</t>
  </si>
  <si>
    <t xml:space="preserve">формат уточнить</t>
  </si>
  <si>
    <t xml:space="preserve">Керамогранит на кухонный фартук</t>
  </si>
  <si>
    <t xml:space="preserve">Кухонный фартук, м²</t>
  </si>
  <si>
    <t xml:space="preserve">Клей плиточный С2 (крупный формат), пол</t>
  </si>
  <si>
    <t xml:space="preserve">Плитка на полу всего, м²</t>
  </si>
  <si>
    <t xml:space="preserve">Клей плиточный С1/С2, стены</t>
  </si>
  <si>
    <t xml:space="preserve">Плитка на стенах всего (санузел + фартук), м²</t>
  </si>
  <si>
    <t xml:space="preserve">Затирка цементная, 2 кг</t>
  </si>
  <si>
    <t xml:space="preserve">Плитка всего, м²</t>
  </si>
  <si>
    <t xml:space="preserve">шов 2 мм; для мелкой акцентной плитки расход выше</t>
  </si>
  <si>
    <t xml:space="preserve">Затирка эпоксидная для зоны душа, 2,5 кг</t>
  </si>
  <si>
    <t xml:space="preserve">СВП: зажимы (клипсы) 1,5 мм</t>
  </si>
  <si>
    <t xml:space="preserve">одноразовые</t>
  </si>
  <si>
    <t xml:space="preserve">СВП: клинья</t>
  </si>
  <si>
    <t xml:space="preserve">многоразовые</t>
  </si>
  <si>
    <t xml:space="preserve">Крестики 2 мм</t>
  </si>
  <si>
    <t xml:space="preserve">Гидроизоляция обмазочная, 15 кг</t>
  </si>
  <si>
    <t xml:space="preserve">Гидроизоляция: пол санузла + 200 мм на стены + зона душа до 2 м, м²</t>
  </si>
  <si>
    <t xml:space="preserve">2 слоя</t>
  </si>
  <si>
    <t xml:space="preserve">Лента гидроизоляционная, 10 м</t>
  </si>
  <si>
    <t xml:space="preserve">Гидролента: примыкания пол-стена, углы душа, порог, м</t>
  </si>
  <si>
    <t xml:space="preserve">Манжеты гидроизоляционные для выводов труб</t>
  </si>
  <si>
    <t xml:space="preserve">Углы гидроизоляционные внутренние</t>
  </si>
  <si>
    <t xml:space="preserve">Профиль алюминиевый для торцов плитки, 2,5 м</t>
  </si>
  <si>
    <t xml:space="preserve">угол короба стояка, край фартука</t>
  </si>
  <si>
    <t xml:space="preserve">Люк ревизионный под плитку 400×600</t>
  </si>
  <si>
    <t xml:space="preserve">к стояку и счётчикам</t>
  </si>
  <si>
    <t xml:space="preserve">Силикон санитарный</t>
  </si>
  <si>
    <t xml:space="preserve">6. Потолки и карнизы</t>
  </si>
  <si>
    <t xml:space="preserve">обычно поставляет и монтирует подрядчик по натяжным потолкам</t>
  </si>
  <si>
    <t xml:space="preserve">Полотно натяжное матовое белое</t>
  </si>
  <si>
    <t xml:space="preserve">Натяжной потолок, м²</t>
  </si>
  <si>
    <t xml:space="preserve">Профиль теневой для натяжного потолка</t>
  </si>
  <si>
    <t xml:space="preserve">Закладные (платформы) под светильники и вентилятор</t>
  </si>
  <si>
    <t xml:space="preserve">Закладные под натяжной потолок: светильники + вентилятор, шт</t>
  </si>
  <si>
    <t xml:space="preserve">Брус 50×50 для ниши под скрытый карниз</t>
  </si>
  <si>
    <t xml:space="preserve">Карниз алюминиевый двухрядный в нишу, 3,45 м</t>
  </si>
  <si>
    <t xml:space="preserve">шторы и тюль</t>
  </si>
  <si>
    <t xml:space="preserve">7. Электрика: кабель и монтаж</t>
  </si>
  <si>
    <t xml:space="preserve">длина по трассам проекта; электрик уточняет на объекте</t>
  </si>
  <si>
    <t xml:space="preserve">Кабель ВВГнг(А)-LS 3×1,5 (свет)</t>
  </si>
  <si>
    <t xml:space="preserve">Кабель 3×1,5: группы света 1–2, по трассе, м</t>
  </si>
  <si>
    <t xml:space="preserve">бухта</t>
  </si>
  <si>
    <t xml:space="preserve">Кабель ВВГнг(А)-LS 3×2,5 (розетки, кондиционеры)</t>
  </si>
  <si>
    <t xml:space="preserve">Кабель 3×2,5: розеточные группы и кондиционеры, м</t>
  </si>
  <si>
    <t xml:space="preserve">Кабель ВВГнг(А)-LS 3×6 (варочная панель)</t>
  </si>
  <si>
    <t xml:space="preserve">Кабель 3×6: варочная панель, м</t>
  </si>
  <si>
    <t xml:space="preserve">Кабель UTP cat.6 (интернет)</t>
  </si>
  <si>
    <t xml:space="preserve">UTP cat.6 от щита до каждой точки RJ45, м</t>
  </si>
  <si>
    <t xml:space="preserve">Кабель телевизионный RG-6</t>
  </si>
  <si>
    <t xml:space="preserve">ТВ-кабель до каждой ТВ-точки, м</t>
  </si>
  <si>
    <t xml:space="preserve">Гофра ПВХ 20 мм с протяжкой</t>
  </si>
  <si>
    <t xml:space="preserve">Гофра 20 мм: кабели 3×1,5, 3×2,5, UTP, ТВ, м</t>
  </si>
  <si>
    <t xml:space="preserve">Гофра ПВХ 25 мм с протяжкой</t>
  </si>
  <si>
    <t xml:space="preserve">Клипса для гофры 20 мм</t>
  </si>
  <si>
    <t xml:space="preserve">шаг 400 мм</t>
  </si>
  <si>
    <t xml:space="preserve">Дюбель-гвоздь 6×40 под клипсы</t>
  </si>
  <si>
    <t xml:space="preserve">Подрозетник для бетона и газоблока Ø68, глубокий</t>
  </si>
  <si>
    <t xml:space="preserve">Подрозетники в бетоне и газоблоке, шт</t>
  </si>
  <si>
    <t xml:space="preserve">Подрозетник для ГКЛ Ø68</t>
  </si>
  <si>
    <t xml:space="preserve">Подрозетники в ГКЛ-перегородках, шт</t>
  </si>
  <si>
    <t xml:space="preserve">Коробка распаечная 100×100 IP54</t>
  </si>
  <si>
    <t xml:space="preserve">Распаечные коробки: 2 на помещение + 2 резерв, шт</t>
  </si>
  <si>
    <t xml:space="preserve">Клеммы WAGO 221-413</t>
  </si>
  <si>
    <t xml:space="preserve">Гипс строительный (алебастр) для заделки штроб, 5 кг</t>
  </si>
  <si>
    <t xml:space="preserve">Штробы: спуски с потолка к точкам на стенах, м</t>
  </si>
  <si>
    <t xml:space="preserve">Хомуты кабельные 200 мм</t>
  </si>
  <si>
    <t xml:space="preserve">Изолента ПВХ</t>
  </si>
  <si>
    <t xml:space="preserve">8. Электрика: щит</t>
  </si>
  <si>
    <t xml:space="preserve">номиналы проверяет электрик по выделенной мощности</t>
  </si>
  <si>
    <t xml:space="preserve">Щит квартирный встраиваемый, 24 модуля</t>
  </si>
  <si>
    <t xml:space="preserve">Автомат вводной 2P C40</t>
  </si>
  <si>
    <t xml:space="preserve">Реле напряжения 40 А</t>
  </si>
  <si>
    <t xml:space="preserve">Автомат C10</t>
  </si>
  <si>
    <t xml:space="preserve">Дифавтомат C16 30 мА</t>
  </si>
  <si>
    <t xml:space="preserve">Автомат C32</t>
  </si>
  <si>
    <t xml:space="preserve">Автомат C16</t>
  </si>
  <si>
    <t xml:space="preserve">Дифавтомат C16 10 мА</t>
  </si>
  <si>
    <t xml:space="preserve">Шина нулевая и PE в щит</t>
  </si>
  <si>
    <t xml:space="preserve">Шина соединительная (гребёнка) 1P</t>
  </si>
  <si>
    <t xml:space="preserve">Щит слаботочный с роутером / патч-панелью</t>
  </si>
  <si>
    <t xml:space="preserve">можно совместить с силовым</t>
  </si>
  <si>
    <t xml:space="preserve">9. Электроустановочные изделия</t>
  </si>
  <si>
    <t xml:space="preserve">Розетка с заземлением, механизм</t>
  </si>
  <si>
    <t xml:space="preserve">Розетки обычные, шт</t>
  </si>
  <si>
    <t xml:space="preserve">часть можно взять с USB</t>
  </si>
  <si>
    <t xml:space="preserve">Розетка влагозащищённая IP44</t>
  </si>
  <si>
    <t xml:space="preserve">Розетки IP44, шт</t>
  </si>
  <si>
    <t xml:space="preserve">санузел</t>
  </si>
  <si>
    <t xml:space="preserve">Рамка 1-постовая</t>
  </si>
  <si>
    <t xml:space="preserve">розетки, выключатели, выводы, терморегулятор</t>
  </si>
  <si>
    <t xml:space="preserve">Рамка 2-постовая</t>
  </si>
  <si>
    <t xml:space="preserve">Рамка 3-постовая</t>
  </si>
  <si>
    <t xml:space="preserve">Рамки 3-постовые, шт</t>
  </si>
  <si>
    <t xml:space="preserve">Выключатель 1-клавишный</t>
  </si>
  <si>
    <t xml:space="preserve">Выключатели 1-клавишные, шт</t>
  </si>
  <si>
    <t xml:space="preserve">Выключатель 2-клавишный</t>
  </si>
  <si>
    <t xml:space="preserve">Выключатели 2-клавишные, шт</t>
  </si>
  <si>
    <t xml:space="preserve">Выключатель 3-клавишный</t>
  </si>
  <si>
    <t xml:space="preserve">Выключатели 3-клавишные, шт</t>
  </si>
  <si>
    <t xml:space="preserve">Переключатель проходной 2-клавишный</t>
  </si>
  <si>
    <t xml:space="preserve">Проходные 2-клавишные, шт</t>
  </si>
  <si>
    <t xml:space="preserve">у кровати</t>
  </si>
  <si>
    <t xml:space="preserve">Розетка ТВ, механизм</t>
  </si>
  <si>
    <t xml:space="preserve">Блоки ТВ + RJ45, шт</t>
  </si>
  <si>
    <t xml:space="preserve">Розетка RJ45 cat.6, механизм</t>
  </si>
  <si>
    <t xml:space="preserve">Вывод кабеля с заглушкой (варочная, кондиционеры)</t>
  </si>
  <si>
    <t xml:space="preserve">10. Освещение</t>
  </si>
  <si>
    <t xml:space="preserve">модели по выбору клиента; количество по проекту</t>
  </si>
  <si>
    <t xml:space="preserve">Светильник точечный встраиваемый GU10</t>
  </si>
  <si>
    <t xml:space="preserve">кухня, гостиная, прихожая</t>
  </si>
  <si>
    <t xml:space="preserve">Светильник точечный IP44</t>
  </si>
  <si>
    <t xml:space="preserve">Светильник точечный IP65</t>
  </si>
  <si>
    <t xml:space="preserve">Из них IP65 в зоне душа, шт</t>
  </si>
  <si>
    <t xml:space="preserve">над душем</t>
  </si>
  <si>
    <t xml:space="preserve">Лампа GU10 LED 3000–4000 К</t>
  </si>
  <si>
    <t xml:space="preserve">Точечные светильники, шт</t>
  </si>
  <si>
    <t xml:space="preserve">Люстра</t>
  </si>
  <si>
    <t xml:space="preserve">Люстры, шт</t>
  </si>
  <si>
    <t xml:space="preserve">гостиная, спальня</t>
  </si>
  <si>
    <t xml:space="preserve">Светильник подвесной</t>
  </si>
  <si>
    <t xml:space="preserve">Подвесные светильники, шт</t>
  </si>
  <si>
    <t xml:space="preserve">над столом, у кровати</t>
  </si>
  <si>
    <t xml:space="preserve">Подсветка зеркала туалетного столика</t>
  </si>
  <si>
    <t xml:space="preserve">Подсветка зеркала / бра, шт</t>
  </si>
  <si>
    <t xml:space="preserve">Лента светодиодная 24 В, 3000 К</t>
  </si>
  <si>
    <t xml:space="preserve">LED-лента под верхними шкафами, м</t>
  </si>
  <si>
    <t xml:space="preserve">бобина</t>
  </si>
  <si>
    <t xml:space="preserve">Профиль алюминиевый с рассеивателем для ленты, 2 м</t>
  </si>
  <si>
    <t xml:space="preserve">Блок питания 24 В, 60 Вт</t>
  </si>
  <si>
    <t xml:space="preserve">Вентилятор вытяжной 100 мм с обратным клапаном</t>
  </si>
  <si>
    <t xml:space="preserve">11. Тёплый пол</t>
  </si>
  <si>
    <t xml:space="preserve">Нагревательный мат 150 Вт/м², 1,0 м²</t>
  </si>
  <si>
    <t xml:space="preserve">санузел, площадь обогрева 0,92 м²</t>
  </si>
  <si>
    <t xml:space="preserve">Терморегулятор с датчиком пола</t>
  </si>
  <si>
    <t xml:space="preserve">Гофра 16 мм для датчика</t>
  </si>
  <si>
    <t xml:space="preserve">12. Сантехника: трубы и фитинги</t>
  </si>
  <si>
    <t xml:space="preserve">по трассам проекта; сантехник уточняет на объекте</t>
  </si>
  <si>
    <t xml:space="preserve">Труба PP-R 20 PN20 (ХВС)</t>
  </si>
  <si>
    <t xml:space="preserve">Трасса ХВС по плану, м</t>
  </si>
  <si>
    <t xml:space="preserve">запас на подъёмы к выводам</t>
  </si>
  <si>
    <t xml:space="preserve">Труба PP-R 20 армированная стекловолокном (ГВС)</t>
  </si>
  <si>
    <t xml:space="preserve">Трасса ГВС по плану, м</t>
  </si>
  <si>
    <t xml:space="preserve">Теплоизоляция для труб 22 мм</t>
  </si>
  <si>
    <t xml:space="preserve">Трассы ХВС + ГВС по плану, м</t>
  </si>
  <si>
    <t xml:space="preserve">Угольник PP-R 20, 90°</t>
  </si>
  <si>
    <t xml:space="preserve">Тройник PP-R 20</t>
  </si>
  <si>
    <t xml:space="preserve">Водорозетка (угольник настенный) PP-R 20 × 1/2" ВР</t>
  </si>
  <si>
    <t xml:space="preserve">Водорозетки (настенные угольники), шт</t>
  </si>
  <si>
    <t xml:space="preserve">Муфта комбинированная PP-R 20 × 1/2"</t>
  </si>
  <si>
    <t xml:space="preserve">Заглушка опрессовочная 1/2"</t>
  </si>
  <si>
    <t xml:space="preserve">Труба канализационная ПП Ø50</t>
  </si>
  <si>
    <t xml:space="preserve">Канализация Ø50 по плану, м</t>
  </si>
  <si>
    <t xml:space="preserve">шт 1 м</t>
  </si>
  <si>
    <t xml:space="preserve">Труба канализационная ПП Ø110</t>
  </si>
  <si>
    <t xml:space="preserve">Канализация Ø110 по плану, м</t>
  </si>
  <si>
    <t xml:space="preserve">Отвод канализационный Ø50, 45° и 87°</t>
  </si>
  <si>
    <t xml:space="preserve">Тройник канализационный Ø50</t>
  </si>
  <si>
    <t xml:space="preserve">Отвод Ø110 и переходник 110/50</t>
  </si>
  <si>
    <t xml:space="preserve">Хомуты и опоры для труб</t>
  </si>
  <si>
    <t xml:space="preserve">Все трубы, м (для креплений)</t>
  </si>
  <si>
    <t xml:space="preserve">Кран шаровой 1/2" (на выводы стиральной машины, унитаза)</t>
  </si>
  <si>
    <t xml:space="preserve">Вентиль угловой 1/2"×3/8" (раковина, мойка, ПММ)</t>
  </si>
  <si>
    <t xml:space="preserve">Подводка гибкая</t>
  </si>
  <si>
    <t xml:space="preserve">Фильтр грубой очистки, редуктор давления (ХВС, ГВС)</t>
  </si>
  <si>
    <t xml:space="preserve">компл.</t>
  </si>
  <si>
    <t xml:space="preserve">на вводе, если нет</t>
  </si>
  <si>
    <t xml:space="preserve">Защита от протечек: 2 крана с электроприводом, контроллер, 3 датчика</t>
  </si>
  <si>
    <t xml:space="preserve">рекомендуем</t>
  </si>
  <si>
    <t xml:space="preserve">13. Сантехника: приборы</t>
  </si>
  <si>
    <t xml:space="preserve">модели по выбору клиента</t>
  </si>
  <si>
    <t xml:space="preserve">Поддон душевой 900×900 на ножках с сифоном</t>
  </si>
  <si>
    <t xml:space="preserve">выпуск ≥ 150 мм</t>
  </si>
  <si>
    <t xml:space="preserve">Ограждение душа: стекло, чёрный профиль</t>
  </si>
  <si>
    <t xml:space="preserve">Душевая система с тропическим душем</t>
  </si>
  <si>
    <t xml:space="preserve">Унитаз напольный с сиденьем, гофра Ø110</t>
  </si>
  <si>
    <t xml:space="preserve">Тумба подвесная 600 с накладной раковиной</t>
  </si>
  <si>
    <t xml:space="preserve">Смеситель для раковины высокий, сифон, донный клапан</t>
  </si>
  <si>
    <t xml:space="preserve">Зеркало с подсветкой 600×800</t>
  </si>
  <si>
    <t xml:space="preserve">Полотенцесушитель</t>
  </si>
  <si>
    <t xml:space="preserve">Мойка кухонная, смеситель, сифон с отводом под ПММ</t>
  </si>
  <si>
    <t xml:space="preserve">14. Двери и плинтус</t>
  </si>
  <si>
    <t xml:space="preserve">Дверь скрытая под покраску 800×2100: короб, полотно</t>
  </si>
  <si>
    <t xml:space="preserve">Д-2, спальня</t>
  </si>
  <si>
    <t xml:space="preserve">Дверь скрытая под покраску 700×2100: короб, полотно</t>
  </si>
  <si>
    <t xml:space="preserve">Д-3, санузел</t>
  </si>
  <si>
    <t xml:space="preserve">Петля скрытая 3D</t>
  </si>
  <si>
    <t xml:space="preserve">3 на полотно</t>
  </si>
  <si>
    <t xml:space="preserve">Замок магнитный</t>
  </si>
  <si>
    <t xml:space="preserve">Ручка дверная на розетке, чёрная</t>
  </si>
  <si>
    <t xml:space="preserve">Завёртка сантехническая</t>
  </si>
  <si>
    <t xml:space="preserve">Ограничитель напольный</t>
  </si>
  <si>
    <t xml:space="preserve">Плинтус МДФ 80 мм под покраску, 2,4 м</t>
  </si>
  <si>
    <t xml:space="preserve">Плинтус по плану (без кухни, шкафов, санузла), м</t>
  </si>
  <si>
    <t xml:space="preserve">Углы плинтуса (если нужны по модели)</t>
  </si>
  <si>
    <t xml:space="preserve">Углы плинтуса, шт</t>
  </si>
  <si>
    <t xml:space="preserve">Заглушки плинтуса</t>
  </si>
  <si>
    <t xml:space="preserve">Заглушки плинтуса, шт</t>
  </si>
  <si>
    <t xml:space="preserve">Клей монтажный («жидкие гвозди») для плинтуса</t>
  </si>
  <si>
    <t xml:space="preserve">1 туба на 6 м</t>
  </si>
  <si>
    <t xml:space="preserve">Пена монтажная (дверные коробки)</t>
  </si>
  <si>
    <t xml:space="preserve">баллон</t>
  </si>
  <si>
    <t xml:space="preserve">15. Инструментальные расходники</t>
  </si>
  <si>
    <t xml:space="preserve">проверить, что уже есть у мастеров</t>
  </si>
  <si>
    <t xml:space="preserve">Биты PH2 50 мм для шуруповёрта</t>
  </si>
  <si>
    <t xml:space="preserve">Биты PH2 с ограничителем для ГКЛ</t>
  </si>
  <si>
    <t xml:space="preserve">Сверло по бетону SDS-plus 6 мм</t>
  </si>
  <si>
    <t xml:space="preserve">дюбели 6×40</t>
  </si>
  <si>
    <t xml:space="preserve">Сверло по бетону SDS-plus 8 мм</t>
  </si>
  <si>
    <t xml:space="preserve">Сверло по бетону SDS-plus 10 мм</t>
  </si>
  <si>
    <t xml:space="preserve">Коронка по бетону Ø68 SDS-plus</t>
  </si>
  <si>
    <t xml:space="preserve">под подрозетники</t>
  </si>
  <si>
    <t xml:space="preserve">Коронка по ГКЛ Ø68</t>
  </si>
  <si>
    <t xml:space="preserve">Коронка алмазная по керамограниту Ø6–8 мм</t>
  </si>
  <si>
    <t xml:space="preserve">дюбели в плитке</t>
  </si>
  <si>
    <t xml:space="preserve">Коронка алмазная по керамограниту Ø20 мм</t>
  </si>
  <si>
    <t xml:space="preserve">выводы воды</t>
  </si>
  <si>
    <t xml:space="preserve">Коронка алмазная по керамограниту Ø50 мм</t>
  </si>
  <si>
    <t xml:space="preserve">выпуски канализации</t>
  </si>
  <si>
    <t xml:space="preserve">Коронка алмазная по керамограниту Ø68 мм</t>
  </si>
  <si>
    <t xml:space="preserve">розетки в плитке</t>
  </si>
  <si>
    <t xml:space="preserve">Диск алмазный по бетону 125 мм (штроба)</t>
  </si>
  <si>
    <t xml:space="preserve">Диск алмазный сплошной по керамограниту 125 мм</t>
  </si>
  <si>
    <t xml:space="preserve">тонкий, для чистого реза</t>
  </si>
  <si>
    <t xml:space="preserve">Диск отрезной по металлу 125 мм</t>
  </si>
  <si>
    <t xml:space="preserve">профиль, арматура</t>
  </si>
  <si>
    <t xml:space="preserve">Чашка алмазная шлифовальная 125 мм</t>
  </si>
  <si>
    <t xml:space="preserve">запил плитки под 45°, по желанию</t>
  </si>
  <si>
    <t xml:space="preserve">Нож строительный 18 мм + лезвия</t>
  </si>
  <si>
    <t xml:space="preserve">Сетка абразивная P120 / P180</t>
  </si>
  <si>
    <t xml:space="preserve">шлифовка шпаклёвки</t>
  </si>
  <si>
    <t xml:space="preserve">Губка абразивная</t>
  </si>
  <si>
    <t xml:space="preserve">Миксер-насадка для смесей</t>
  </si>
  <si>
    <t xml:space="preserve">Ведро строительное 20 л</t>
  </si>
  <si>
    <t xml:space="preserve">для смесей</t>
  </si>
  <si>
    <t xml:space="preserve">Ведро строительное 12 л</t>
  </si>
  <si>
    <t xml:space="preserve">Шпатели: 600, 350, 100 мм</t>
  </si>
  <si>
    <t xml:space="preserve">набор</t>
  </si>
  <si>
    <t xml:space="preserve">Шпатель зубчатый 8 и 10 мм</t>
  </si>
  <si>
    <t xml:space="preserve">клей для плитки</t>
  </si>
  <si>
    <t xml:space="preserve">Тёрка резиновая для затирки</t>
  </si>
  <si>
    <t xml:space="preserve">Губка для отмывки затирки</t>
  </si>
  <si>
    <t xml:space="preserve">Валик для краски 250 мм + мини-валик</t>
  </si>
  <si>
    <t xml:space="preserve">Кювета малярная</t>
  </si>
  <si>
    <t xml:space="preserve">Кисти малярные</t>
  </si>
  <si>
    <t xml:space="preserve">Валик для грунта или распылитель</t>
  </si>
  <si>
    <t xml:space="preserve">16. Хозяйственные расходники</t>
  </si>
  <si>
    <t xml:space="preserve">Скотч малярный 50 мм</t>
  </si>
  <si>
    <t xml:space="preserve">Плёнка укрывная 4×5 м</t>
  </si>
  <si>
    <t xml:space="preserve">укрыть окна, двери, пол</t>
  </si>
  <si>
    <t xml:space="preserve">Картон или оргалит для защиты чистового пола</t>
  </si>
  <si>
    <t xml:space="preserve">Мешки для строительного мусора</t>
  </si>
  <si>
    <t xml:space="preserve">Перчатки рабочие</t>
  </si>
  <si>
    <t xml:space="preserve">пара</t>
  </si>
  <si>
    <t xml:space="preserve">Респиратор</t>
  </si>
  <si>
    <t xml:space="preserve">Очки защитные</t>
  </si>
  <si>
    <t xml:space="preserve">Карандаш строительный, маркер</t>
  </si>
  <si>
    <t xml:space="preserve">Шнур отбивочный, мел</t>
  </si>
  <si>
    <t xml:space="preserve">Итого</t>
  </si>
  <si>
    <t xml:space="preserve">ВАЖНО. Это примерная ведомость, а не смета. Количества посчитаны по чертежам проекта и типовым нормам расхода производителей.</t>
  </si>
  <si>
    <t xml:space="preserve">1. Электрик и сантехник уточняют кабель, трубы, фитинги и щит на объекте: трассы, перепады и состояние стен видны только по факту.</t>
  </si>
  <si>
    <t xml:space="preserve">2. Часть позиций может уже быть у мастеров (вёдра, миксер, шпатели, биты, диски, коронки) — их не покупать.</t>
  </si>
  <si>
    <t xml:space="preserve">3. Позиции можно заменять аналогами: другой бренд, другая фасовка, другой формат плитки. Тогда пересчитайте фасовку в колонке «Фасовка».</t>
  </si>
  <si>
    <t xml:space="preserve">4. Натяжные потолки, кухню и шкафы на заказ обычно поставляют подрядчики со своими материалами.</t>
  </si>
  <si>
    <t xml:space="preserve">5. Модели светильников, сантехники и техники выбирает клиент; здесь указаны только количество и тип.</t>
  </si>
  <si>
    <t xml:space="preserve">6. Размеры окон, батарей и стояка в проекте приняты условно. После контрольного замера ведомость пересчитать.</t>
  </si>
  <si>
    <t xml:space="preserve">Объёмы из проекта «Квартира 56 м²»</t>
  </si>
  <si>
    <t xml:space="preserve">Посчитаны по чертежам проекта. Синие числа можно менять — ведомость пересчитается.</t>
  </si>
  <si>
    <t xml:space="preserve">Код</t>
  </si>
  <si>
    <t xml:space="preserve">Что посчитано</t>
  </si>
  <si>
    <t xml:space="preserve">Значение</t>
  </si>
  <si>
    <t xml:space="preserve">S_paint</t>
  </si>
  <si>
    <t xml:space="preserve">S_tile_wall</t>
  </si>
  <si>
    <t xml:space="preserve">Стены санузла под плитку до потолка, м²</t>
  </si>
  <si>
    <t xml:space="preserve">S_tile_acc</t>
  </si>
  <si>
    <t xml:space="preserve">S_tile_main</t>
  </si>
  <si>
    <t xml:space="preserve">S_apron</t>
  </si>
  <si>
    <t xml:space="preserve">S_plaster</t>
  </si>
  <si>
    <t xml:space="preserve">S_plaster_c</t>
  </si>
  <si>
    <t xml:space="preserve">L_beacon</t>
  </si>
  <si>
    <t xml:space="preserve">S_lam</t>
  </si>
  <si>
    <t xml:space="preserve">S_hall</t>
  </si>
  <si>
    <t xml:space="preserve">S_bathfl</t>
  </si>
  <si>
    <t xml:space="preserve">S_heat</t>
  </si>
  <si>
    <t xml:space="preserve">Тёплый пол, м²</t>
  </si>
  <si>
    <t xml:space="preserve">S_floor</t>
  </si>
  <si>
    <t xml:space="preserve">Scr</t>
  </si>
  <si>
    <t xml:space="preserve">P_all</t>
  </si>
  <si>
    <t xml:space="preserve">S_ceil</t>
  </si>
  <si>
    <t xml:space="preserve">S_wp</t>
  </si>
  <si>
    <t xml:space="preserve">L_wptape</t>
  </si>
  <si>
    <t xml:space="preserve">S_gkl</t>
  </si>
  <si>
    <t xml:space="preserve">L_gkl</t>
  </si>
  <si>
    <t xml:space="preserve">N_studs</t>
  </si>
  <si>
    <t xml:space="preserve">S_aer</t>
  </si>
  <si>
    <t xml:space="preserve">L_aer</t>
  </si>
  <si>
    <t xml:space="preserve">N_sock</t>
  </si>
  <si>
    <t xml:space="preserve">N_sockW</t>
  </si>
  <si>
    <t xml:space="preserve">N_fr1</t>
  </si>
  <si>
    <t xml:space="preserve">Рамки 1-постовые под розетки, шт</t>
  </si>
  <si>
    <t xml:space="preserve">N_fr2</t>
  </si>
  <si>
    <t xml:space="preserve">Рамки 2-постовые, шт</t>
  </si>
  <si>
    <t xml:space="preserve">N_fr3</t>
  </si>
  <si>
    <t xml:space="preserve">N_tv</t>
  </si>
  <si>
    <t xml:space="preserve">N_sw1</t>
  </si>
  <si>
    <t xml:space="preserve">N_sw2</t>
  </si>
  <si>
    <t xml:space="preserve">N_sw3</t>
  </si>
  <si>
    <t xml:space="preserve">N_swp</t>
  </si>
  <si>
    <t xml:space="preserve">N_box</t>
  </si>
  <si>
    <t xml:space="preserve">Подрозетники: розетки, ТВ/RJ, выключатели, выводы, шт</t>
  </si>
  <si>
    <t xml:space="preserve">C15</t>
  </si>
  <si>
    <t xml:space="preserve">C25</t>
  </si>
  <si>
    <t xml:space="preserve">C6</t>
  </si>
  <si>
    <t xml:space="preserve">C_utp</t>
  </si>
  <si>
    <t xml:space="preserve">C_coax</t>
  </si>
  <si>
    <t xml:space="preserve">C_all</t>
  </si>
  <si>
    <t xml:space="preserve">Кабель всего (для гофры и креплений), м</t>
  </si>
  <si>
    <t xml:space="preserve">L_chase</t>
  </si>
  <si>
    <t xml:space="preserve">N_jbox</t>
  </si>
  <si>
    <t xml:space="preserve">N_sp</t>
  </si>
  <si>
    <t xml:space="preserve">N_sp65</t>
  </si>
  <si>
    <t xml:space="preserve">N_cl</t>
  </si>
  <si>
    <t xml:space="preserve">N_pd</t>
  </si>
  <si>
    <t xml:space="preserve">N_sc</t>
  </si>
  <si>
    <t xml:space="preserve">L_led</t>
  </si>
  <si>
    <t xml:space="preserve">N_emb</t>
  </si>
  <si>
    <t xml:space="preserve">P_c</t>
  </si>
  <si>
    <t xml:space="preserve">P_h</t>
  </si>
  <si>
    <t xml:space="preserve">P_k50</t>
  </si>
  <si>
    <t xml:space="preserve">P_k110</t>
  </si>
  <si>
    <t xml:space="preserve">N_bend</t>
  </si>
  <si>
    <t xml:space="preserve">Колена и отводы: изломы трасс + подъёмы к выводам, шт</t>
  </si>
  <si>
    <t xml:space="preserve">N_wout</t>
  </si>
  <si>
    <t xml:space="preserve">N_kout</t>
  </si>
  <si>
    <t xml:space="preserve">Выпуски канализации, шт</t>
  </si>
  <si>
    <t xml:space="preserve">S_tile_flr</t>
  </si>
  <si>
    <t xml:space="preserve">S_tile_wl</t>
  </si>
  <si>
    <t xml:space="preserve">S_tile_all</t>
  </si>
  <si>
    <t xml:space="preserve">S_screed_mesh</t>
  </si>
  <si>
    <t xml:space="preserve">S_prime</t>
  </si>
  <si>
    <t xml:space="preserve">L_jamb</t>
  </si>
  <si>
    <t xml:space="preserve">L_cor20</t>
  </si>
  <si>
    <t xml:space="preserve">N_boxG</t>
  </si>
  <si>
    <t xml:space="preserve">N_boxC</t>
  </si>
  <si>
    <t xml:space="preserve">L_plinth</t>
  </si>
  <si>
    <t xml:space="preserve">N_pl_corner</t>
  </si>
  <si>
    <t xml:space="preserve">N_pl_cap</t>
  </si>
  <si>
    <t xml:space="preserve">P_water</t>
  </si>
  <si>
    <t xml:space="preserve">P_pipes_all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</si>
</sst>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###"/>
    <numFmt numFmtId="167" formatCode="0%;;\-"/>
    <numFmt numFmtId="168" formatCode="#,##0.0"/>
    <numFmt numFmtId="169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4E5C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E5C69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2630"/>
        <bgColor rgb="FF333300"/>
      </patternFill>
    </fill>
    <fill>
      <patternFill patternType="solid">
        <fgColor rgb="FFE6ECF1"/>
        <bgColor rgb="FFFFF4D6"/>
      </patternFill>
    </fill>
    <fill>
      <patternFill patternType="solid">
        <fgColor rgb="FFFFFBEA"/>
        <bgColor rgb="FFFFFFFF"/>
      </patternFill>
    </fill>
    <fill>
      <patternFill patternType="solid">
        <fgColor rgb="FFFFF4D6"/>
        <bgColor rgb="FFFFFB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5"/>
      </left>
      <right style="thin">
        <color rgb="FFC9CFD5"/>
      </right>
      <top style="thin">
        <color rgb="FFC9CFD5"/>
      </top>
      <bottom style="thin">
        <color rgb="FFC9CF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C2630"/>
          <bgColor rgb="FF000000"/>
        </patternFill>
      </fill>
    </dxf>
    <dxf>
      <fill>
        <patternFill patternType="solid">
          <fgColor rgb="FFE6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4E5C69"/>
          <bgColor rgb="FF000000"/>
        </patternFill>
      </fill>
    </dxf>
    <dxf>
      <fill>
        <patternFill patternType="solid">
          <fgColor rgb="FFFFFB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6ECF1"/>
      <rgbColor rgb="FF660066"/>
      <rgbColor rgb="FFFF8080"/>
      <rgbColor rgb="FF0066CC"/>
      <rgbColor rgb="FFC9CF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E5C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6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  <col collapsed="false" customWidth="true" hidden="false" outlineLevel="0" max="14" min="13" style="0" width="12"/>
  </cols>
  <sheetData>
    <row r="1" customFormat="false" ht="17.35" hidden="false" customHeight="fals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/>
      <c r="B5" s="5" t="s">
        <v>16</v>
      </c>
      <c r="C5" s="4"/>
      <c r="D5" s="4"/>
      <c r="E5" s="4"/>
      <c r="F5" s="4"/>
      <c r="G5" s="4"/>
      <c r="H5" s="4"/>
      <c r="I5" s="4"/>
      <c r="J5" s="4"/>
      <c r="K5" s="4"/>
      <c r="L5" s="6" t="s">
        <v>17</v>
      </c>
      <c r="M5" s="4"/>
      <c r="N5" s="4"/>
    </row>
    <row r="6" customFormat="false" ht="22.35" hidden="false" customHeight="false" outlineLevel="0" collapsed="false">
      <c r="A6" s="7" t="n">
        <v>1</v>
      </c>
      <c r="B6" s="8" t="s">
        <v>18</v>
      </c>
      <c r="C6" s="7" t="s">
        <v>19</v>
      </c>
      <c r="D6" s="9" t="n">
        <f aca="false">Объёмы!C23</f>
        <v>27.96</v>
      </c>
      <c r="E6" s="10" t="s">
        <v>20</v>
      </c>
      <c r="F6" s="11" t="n">
        <v>2</v>
      </c>
      <c r="G6" s="12" t="n">
        <v>0.1</v>
      </c>
      <c r="H6" s="13" t="n">
        <f aca="false">D6*F6*(1+G6)</f>
        <v>61.512</v>
      </c>
      <c r="I6" s="11" t="n">
        <v>3.6</v>
      </c>
      <c r="J6" s="7" t="s">
        <v>21</v>
      </c>
      <c r="K6" s="14" t="n">
        <f aca="false">ROUNDUP(H6/I6,0)</f>
        <v>18</v>
      </c>
      <c r="L6" s="15" t="s">
        <v>22</v>
      </c>
      <c r="M6" s="16"/>
      <c r="N6" s="17" t="str">
        <f aca="false">IF(M6="","",K6*M6)</f>
        <v/>
      </c>
    </row>
    <row r="7" customFormat="false" ht="15" hidden="false" customHeight="false" outlineLevel="0" collapsed="false">
      <c r="A7" s="7" t="n">
        <v>2</v>
      </c>
      <c r="B7" s="8" t="s">
        <v>23</v>
      </c>
      <c r="C7" s="7" t="s">
        <v>24</v>
      </c>
      <c r="D7" s="9" t="n">
        <f aca="false">Объёмы!C24</f>
        <v>10.6</v>
      </c>
      <c r="E7" s="10" t="s">
        <v>25</v>
      </c>
      <c r="F7" s="11" t="n">
        <v>2</v>
      </c>
      <c r="G7" s="12" t="n">
        <v>0.15</v>
      </c>
      <c r="H7" s="13" t="n">
        <f aca="false">D7*F7*(1+G7)</f>
        <v>24.38</v>
      </c>
      <c r="I7" s="11" t="n">
        <v>3</v>
      </c>
      <c r="J7" s="7" t="s">
        <v>26</v>
      </c>
      <c r="K7" s="14" t="n">
        <f aca="false">ROUNDUP(H7/I7,0)</f>
        <v>9</v>
      </c>
      <c r="L7" s="15" t="s">
        <v>27</v>
      </c>
      <c r="M7" s="16"/>
      <c r="N7" s="17" t="str">
        <f aca="false">IF(M7="","",K7*M7)</f>
        <v/>
      </c>
    </row>
    <row r="8" customFormat="false" ht="15" hidden="false" customHeight="false" outlineLevel="0" collapsed="false">
      <c r="A8" s="7" t="n">
        <v>3</v>
      </c>
      <c r="B8" s="8" t="s">
        <v>28</v>
      </c>
      <c r="C8" s="7" t="s">
        <v>26</v>
      </c>
      <c r="D8" s="9" t="n">
        <f aca="false">Объёмы!C25</f>
        <v>25</v>
      </c>
      <c r="E8" s="10" t="s">
        <v>29</v>
      </c>
      <c r="F8" s="11" t="n">
        <v>1</v>
      </c>
      <c r="G8" s="12" t="n">
        <v>0.1</v>
      </c>
      <c r="H8" s="13" t="n">
        <f aca="false">D8*F8*(1+G8)</f>
        <v>27.5</v>
      </c>
      <c r="I8" s="11" t="n">
        <v>1</v>
      </c>
      <c r="J8" s="7" t="s">
        <v>26</v>
      </c>
      <c r="K8" s="14" t="n">
        <f aca="false">ROUNDUP(H8/I8,0)</f>
        <v>28</v>
      </c>
      <c r="L8" s="15" t="s">
        <v>30</v>
      </c>
      <c r="M8" s="16"/>
      <c r="N8" s="17" t="str">
        <f aca="false">IF(M8="","",K8*M8)</f>
        <v/>
      </c>
    </row>
    <row r="9" customFormat="false" ht="15" hidden="false" customHeight="false" outlineLevel="0" collapsed="false">
      <c r="A9" s="7" t="n">
        <v>4</v>
      </c>
      <c r="B9" s="8" t="s">
        <v>31</v>
      </c>
      <c r="C9" s="7" t="s">
        <v>26</v>
      </c>
      <c r="D9" s="18" t="n">
        <v>2</v>
      </c>
      <c r="E9" s="10" t="s">
        <v>32</v>
      </c>
      <c r="F9" s="11" t="n">
        <v>3</v>
      </c>
      <c r="G9" s="12" t="n">
        <v>0</v>
      </c>
      <c r="H9" s="13" t="n">
        <f aca="false">D9*F9*(1+G9)</f>
        <v>6</v>
      </c>
      <c r="I9" s="11" t="n">
        <v>1</v>
      </c>
      <c r="J9" s="7" t="s">
        <v>26</v>
      </c>
      <c r="K9" s="14" t="n">
        <f aca="false">ROUNDUP(H9/I9,0)</f>
        <v>6</v>
      </c>
      <c r="L9" s="15" t="s">
        <v>33</v>
      </c>
      <c r="M9" s="16"/>
      <c r="N9" s="17" t="str">
        <f aca="false">IF(M9="","",K9*M9)</f>
        <v/>
      </c>
    </row>
    <row r="10" customFormat="false" ht="22.35" hidden="false" customHeight="false" outlineLevel="0" collapsed="false">
      <c r="A10" s="7" t="n">
        <v>5</v>
      </c>
      <c r="B10" s="8" t="s">
        <v>34</v>
      </c>
      <c r="C10" s="7" t="s">
        <v>19</v>
      </c>
      <c r="D10" s="9" t="n">
        <f aca="false">Объёмы!C23</f>
        <v>27.96</v>
      </c>
      <c r="E10" s="10" t="s">
        <v>20</v>
      </c>
      <c r="F10" s="11" t="n">
        <v>1</v>
      </c>
      <c r="G10" s="12" t="n">
        <v>0.05</v>
      </c>
      <c r="H10" s="13" t="n">
        <f aca="false">D10*F10*(1+G10)</f>
        <v>29.358</v>
      </c>
      <c r="I10" s="11" t="n">
        <v>6</v>
      </c>
      <c r="J10" s="7" t="s">
        <v>35</v>
      </c>
      <c r="K10" s="14" t="n">
        <f aca="false">ROUNDUP(H10/I10,0)</f>
        <v>5</v>
      </c>
      <c r="L10" s="15" t="s">
        <v>36</v>
      </c>
      <c r="M10" s="16"/>
      <c r="N10" s="17" t="str">
        <f aca="false">IF(M10="","",K10*M10)</f>
        <v/>
      </c>
    </row>
    <row r="11" customFormat="false" ht="15" hidden="false" customHeight="false" outlineLevel="0" collapsed="false">
      <c r="A11" s="7" t="n">
        <v>6</v>
      </c>
      <c r="B11" s="8" t="s">
        <v>37</v>
      </c>
      <c r="C11" s="7" t="s">
        <v>24</v>
      </c>
      <c r="D11" s="9" t="n">
        <f aca="false">Объёмы!C24</f>
        <v>10.6</v>
      </c>
      <c r="E11" s="10" t="s">
        <v>25</v>
      </c>
      <c r="F11" s="11" t="n">
        <v>3</v>
      </c>
      <c r="G11" s="12" t="n">
        <v>0.1</v>
      </c>
      <c r="H11" s="13" t="n">
        <f aca="false">D11*F11*(1+G11)</f>
        <v>34.98</v>
      </c>
      <c r="I11" s="11" t="n">
        <v>30</v>
      </c>
      <c r="J11" s="7" t="s">
        <v>38</v>
      </c>
      <c r="K11" s="14" t="n">
        <f aca="false">ROUNDUP(H11/I11,0)</f>
        <v>2</v>
      </c>
      <c r="L11" s="15" t="s">
        <v>39</v>
      </c>
      <c r="M11" s="16"/>
      <c r="N11" s="17" t="str">
        <f aca="false">IF(M11="","",K11*M11)</f>
        <v/>
      </c>
    </row>
    <row r="12" customFormat="false" ht="22.35" hidden="false" customHeight="false" outlineLevel="0" collapsed="false">
      <c r="A12" s="7" t="n">
        <v>7</v>
      </c>
      <c r="B12" s="8" t="s">
        <v>40</v>
      </c>
      <c r="C12" s="7" t="s">
        <v>26</v>
      </c>
      <c r="D12" s="9" t="n">
        <f aca="false">Объёмы!C24</f>
        <v>10.6</v>
      </c>
      <c r="E12" s="10" t="s">
        <v>25</v>
      </c>
      <c r="F12" s="11" t="n">
        <v>6</v>
      </c>
      <c r="G12" s="12" t="n">
        <v>0.1</v>
      </c>
      <c r="H12" s="13" t="n">
        <f aca="false">D12*F12*(1+G12)</f>
        <v>69.96</v>
      </c>
      <c r="I12" s="11" t="n">
        <v>100</v>
      </c>
      <c r="J12" s="7" t="s">
        <v>35</v>
      </c>
      <c r="K12" s="14" t="n">
        <f aca="false">ROUNDUP(H12/I12,0)</f>
        <v>1</v>
      </c>
      <c r="L12" s="15" t="s">
        <v>41</v>
      </c>
      <c r="M12" s="16"/>
      <c r="N12" s="17" t="str">
        <f aca="false">IF(M12="","",K12*M12)</f>
        <v/>
      </c>
    </row>
    <row r="13" customFormat="false" ht="22.35" hidden="false" customHeight="false" outlineLevel="0" collapsed="false">
      <c r="A13" s="7" t="n">
        <v>8</v>
      </c>
      <c r="B13" s="8" t="s">
        <v>42</v>
      </c>
      <c r="C13" s="7" t="s">
        <v>26</v>
      </c>
      <c r="D13" s="9" t="n">
        <f aca="false">Объёмы!C23</f>
        <v>27.96</v>
      </c>
      <c r="E13" s="10" t="s">
        <v>20</v>
      </c>
      <c r="F13" s="11" t="n">
        <v>60</v>
      </c>
      <c r="G13" s="12" t="n">
        <v>0.1</v>
      </c>
      <c r="H13" s="13" t="n">
        <f aca="false">D13*F13*(1+G13)</f>
        <v>1845.36</v>
      </c>
      <c r="I13" s="11" t="n">
        <v>1000</v>
      </c>
      <c r="J13" s="7" t="s">
        <v>35</v>
      </c>
      <c r="K13" s="14" t="n">
        <f aca="false">ROUNDUP(H13/I13,0)</f>
        <v>2</v>
      </c>
      <c r="L13" s="15" t="s">
        <v>43</v>
      </c>
      <c r="M13" s="16"/>
      <c r="N13" s="17" t="str">
        <f aca="false">IF(M13="","",K13*M13)</f>
        <v/>
      </c>
    </row>
    <row r="14" customFormat="false" ht="22.35" hidden="false" customHeight="false" outlineLevel="0" collapsed="false">
      <c r="A14" s="7" t="n">
        <v>9</v>
      </c>
      <c r="B14" s="8" t="s">
        <v>44</v>
      </c>
      <c r="C14" s="7" t="s">
        <v>26</v>
      </c>
      <c r="D14" s="9" t="n">
        <f aca="false">Объёмы!C23</f>
        <v>27.96</v>
      </c>
      <c r="E14" s="10" t="s">
        <v>20</v>
      </c>
      <c r="F14" s="11" t="n">
        <v>10</v>
      </c>
      <c r="G14" s="12" t="n">
        <v>0.1</v>
      </c>
      <c r="H14" s="13" t="n">
        <f aca="false">D14*F14*(1+G14)</f>
        <v>307.56</v>
      </c>
      <c r="I14" s="11" t="n">
        <v>1000</v>
      </c>
      <c r="J14" s="7" t="s">
        <v>35</v>
      </c>
      <c r="K14" s="14" t="n">
        <f aca="false">ROUNDUP(H14/I14,0)</f>
        <v>1</v>
      </c>
      <c r="L14" s="15"/>
      <c r="M14" s="16"/>
      <c r="N14" s="17" t="str">
        <f aca="false">IF(M14="","",K14*M14)</f>
        <v/>
      </c>
    </row>
    <row r="15" customFormat="false" ht="22.35" hidden="false" customHeight="false" outlineLevel="0" collapsed="false">
      <c r="A15" s="7" t="n">
        <v>10</v>
      </c>
      <c r="B15" s="8" t="s">
        <v>45</v>
      </c>
      <c r="C15" s="7" t="s">
        <v>24</v>
      </c>
      <c r="D15" s="9" t="n">
        <f aca="false">Объёмы!C23</f>
        <v>27.96</v>
      </c>
      <c r="E15" s="10" t="s">
        <v>20</v>
      </c>
      <c r="F15" s="11" t="n">
        <v>2.4</v>
      </c>
      <c r="G15" s="12" t="n">
        <v>0.1</v>
      </c>
      <c r="H15" s="13" t="n">
        <f aca="false">D15*F15*(1+G15)</f>
        <v>73.8144</v>
      </c>
      <c r="I15" s="11" t="n">
        <v>45</v>
      </c>
      <c r="J15" s="7" t="s">
        <v>38</v>
      </c>
      <c r="K15" s="14" t="n">
        <f aca="false">ROUNDUP(H15/I15,0)</f>
        <v>2</v>
      </c>
      <c r="L15" s="15" t="s">
        <v>46</v>
      </c>
      <c r="M15" s="16"/>
      <c r="N15" s="17" t="str">
        <f aca="false">IF(M15="","",K15*M15)</f>
        <v/>
      </c>
    </row>
    <row r="16" customFormat="false" ht="22.35" hidden="false" customHeight="false" outlineLevel="0" collapsed="false">
      <c r="A16" s="7" t="n">
        <v>11</v>
      </c>
      <c r="B16" s="8" t="s">
        <v>47</v>
      </c>
      <c r="C16" s="7" t="s">
        <v>48</v>
      </c>
      <c r="D16" s="9" t="n">
        <f aca="false">Объёмы!C23</f>
        <v>27.96</v>
      </c>
      <c r="E16" s="10" t="s">
        <v>20</v>
      </c>
      <c r="F16" s="11" t="n">
        <v>0.6</v>
      </c>
      <c r="G16" s="12" t="n">
        <v>0.1</v>
      </c>
      <c r="H16" s="13" t="n">
        <f aca="false">D16*F16*(1+G16)</f>
        <v>18.4536</v>
      </c>
      <c r="I16" s="11" t="n">
        <v>25</v>
      </c>
      <c r="J16" s="7" t="s">
        <v>49</v>
      </c>
      <c r="K16" s="14" t="n">
        <f aca="false">ROUNDUP(H16/I16,0)</f>
        <v>1</v>
      </c>
      <c r="L16" s="15"/>
      <c r="M16" s="16"/>
      <c r="N16" s="17" t="str">
        <f aca="false">IF(M16="","",K16*M16)</f>
        <v/>
      </c>
    </row>
    <row r="17" customFormat="false" ht="15" hidden="false" customHeight="false" outlineLevel="0" collapsed="false">
      <c r="A17" s="7" t="n">
        <v>12</v>
      </c>
      <c r="B17" s="8" t="s">
        <v>50</v>
      </c>
      <c r="C17" s="7" t="s">
        <v>19</v>
      </c>
      <c r="D17" s="18" t="n">
        <v>1.5</v>
      </c>
      <c r="E17" s="10" t="s">
        <v>32</v>
      </c>
      <c r="F17" s="11" t="n">
        <v>1</v>
      </c>
      <c r="G17" s="12" t="n">
        <v>0.1</v>
      </c>
      <c r="H17" s="13" t="n">
        <f aca="false">D17*F17*(1+G17)</f>
        <v>1.65</v>
      </c>
      <c r="I17" s="11" t="n">
        <v>2.325625</v>
      </c>
      <c r="J17" s="7" t="s">
        <v>21</v>
      </c>
      <c r="K17" s="14" t="n">
        <f aca="false">ROUNDUP(H17/I17,0)</f>
        <v>1</v>
      </c>
      <c r="L17" s="15" t="s">
        <v>51</v>
      </c>
      <c r="M17" s="16"/>
      <c r="N17" s="17" t="str">
        <f aca="false">IF(M17="","",K17*M17)</f>
        <v/>
      </c>
    </row>
    <row r="18" customFormat="false" ht="15" hidden="false" customHeight="false" outlineLevel="0" collapsed="false">
      <c r="A18" s="4"/>
      <c r="B18" s="5" t="s">
        <v>52</v>
      </c>
      <c r="C18" s="4"/>
      <c r="D18" s="4"/>
      <c r="E18" s="4"/>
      <c r="F18" s="4"/>
      <c r="G18" s="4"/>
      <c r="H18" s="4"/>
      <c r="I18" s="4"/>
      <c r="J18" s="4"/>
      <c r="K18" s="4"/>
      <c r="L18" s="6" t="s">
        <v>53</v>
      </c>
      <c r="M18" s="4"/>
      <c r="N18" s="4"/>
    </row>
    <row r="19" customFormat="false" ht="15" hidden="false" customHeight="false" outlineLevel="0" collapsed="false">
      <c r="A19" s="7" t="n">
        <v>13</v>
      </c>
      <c r="B19" s="8" t="s">
        <v>54</v>
      </c>
      <c r="C19" s="7" t="s">
        <v>26</v>
      </c>
      <c r="D19" s="9" t="n">
        <f aca="false">Объёмы!C26</f>
        <v>11.43</v>
      </c>
      <c r="E19" s="10" t="s">
        <v>55</v>
      </c>
      <c r="F19" s="11" t="n">
        <v>6.67</v>
      </c>
      <c r="G19" s="12" t="n">
        <v>0.05</v>
      </c>
      <c r="H19" s="13" t="n">
        <f aca="false">D19*F19*(1+G19)</f>
        <v>80.050005</v>
      </c>
      <c r="I19" s="11" t="n">
        <v>1</v>
      </c>
      <c r="J19" s="7" t="s">
        <v>26</v>
      </c>
      <c r="K19" s="14" t="n">
        <f aca="false">ROUNDUP(H19/I19,0)</f>
        <v>81</v>
      </c>
      <c r="L19" s="15" t="s">
        <v>56</v>
      </c>
      <c r="M19" s="16"/>
      <c r="N19" s="17" t="str">
        <f aca="false">IF(M19="","",K19*M19)</f>
        <v/>
      </c>
    </row>
    <row r="20" customFormat="false" ht="15" hidden="false" customHeight="false" outlineLevel="0" collapsed="false">
      <c r="A20" s="7" t="n">
        <v>14</v>
      </c>
      <c r="B20" s="8" t="s">
        <v>57</v>
      </c>
      <c r="C20" s="7" t="s">
        <v>48</v>
      </c>
      <c r="D20" s="9" t="n">
        <f aca="false">Объёмы!C26</f>
        <v>11.43</v>
      </c>
      <c r="E20" s="10" t="s">
        <v>55</v>
      </c>
      <c r="F20" s="11" t="n">
        <v>2.5</v>
      </c>
      <c r="G20" s="12" t="n">
        <v>0.1</v>
      </c>
      <c r="H20" s="13" t="n">
        <f aca="false">D20*F20*(1+G20)</f>
        <v>31.4325</v>
      </c>
      <c r="I20" s="11" t="n">
        <v>25</v>
      </c>
      <c r="J20" s="7" t="s">
        <v>49</v>
      </c>
      <c r="K20" s="14" t="n">
        <f aca="false">ROUNDUP(H20/I20,0)</f>
        <v>2</v>
      </c>
      <c r="L20" s="15" t="s">
        <v>58</v>
      </c>
      <c r="M20" s="16"/>
      <c r="N20" s="17" t="str">
        <f aca="false">IF(M20="","",K20*M20)</f>
        <v/>
      </c>
    </row>
    <row r="21" customFormat="false" ht="15" hidden="false" customHeight="false" outlineLevel="0" collapsed="false">
      <c r="A21" s="7" t="n">
        <v>15</v>
      </c>
      <c r="B21" s="8" t="s">
        <v>59</v>
      </c>
      <c r="C21" s="7" t="s">
        <v>24</v>
      </c>
      <c r="D21" s="9" t="n">
        <f aca="false">Объёмы!C27</f>
        <v>4.3</v>
      </c>
      <c r="E21" s="10" t="s">
        <v>60</v>
      </c>
      <c r="F21" s="11" t="n">
        <v>8</v>
      </c>
      <c r="G21" s="12" t="n">
        <v>0.1</v>
      </c>
      <c r="H21" s="13" t="n">
        <f aca="false">D21*F21*(1+G21)</f>
        <v>37.84</v>
      </c>
      <c r="I21" s="11" t="n">
        <v>6</v>
      </c>
      <c r="J21" s="7" t="s">
        <v>61</v>
      </c>
      <c r="K21" s="14" t="n">
        <f aca="false">ROUNDUP(H21/I21,0)</f>
        <v>7</v>
      </c>
      <c r="L21" s="15" t="s">
        <v>62</v>
      </c>
      <c r="M21" s="16"/>
      <c r="N21" s="17" t="str">
        <f aca="false">IF(M21="","",K21*M21)</f>
        <v/>
      </c>
    </row>
    <row r="22" customFormat="false" ht="15" hidden="false" customHeight="false" outlineLevel="0" collapsed="false">
      <c r="A22" s="7" t="n">
        <v>16</v>
      </c>
      <c r="B22" s="8" t="s">
        <v>63</v>
      </c>
      <c r="C22" s="7" t="s">
        <v>26</v>
      </c>
      <c r="D22" s="18" t="n">
        <v>4</v>
      </c>
      <c r="E22" s="10" t="s">
        <v>32</v>
      </c>
      <c r="F22" s="11" t="n">
        <v>4</v>
      </c>
      <c r="G22" s="12" t="n">
        <v>0</v>
      </c>
      <c r="H22" s="13" t="n">
        <f aca="false">D22*F22*(1+G22)</f>
        <v>16</v>
      </c>
      <c r="I22" s="11" t="n">
        <v>1</v>
      </c>
      <c r="J22" s="7" t="s">
        <v>26</v>
      </c>
      <c r="K22" s="14" t="n">
        <f aca="false">ROUNDUP(H22/I22,0)</f>
        <v>16</v>
      </c>
      <c r="L22" s="15" t="s">
        <v>64</v>
      </c>
      <c r="M22" s="16"/>
      <c r="N22" s="17" t="str">
        <f aca="false">IF(M22="","",K22*M22)</f>
        <v/>
      </c>
    </row>
    <row r="23" customFormat="false" ht="15" hidden="false" customHeight="false" outlineLevel="0" collapsed="false">
      <c r="A23" s="7" t="n">
        <v>17</v>
      </c>
      <c r="B23" s="8" t="s">
        <v>65</v>
      </c>
      <c r="C23" s="7" t="s">
        <v>24</v>
      </c>
      <c r="D23" s="18" t="n">
        <v>2.2</v>
      </c>
      <c r="E23" s="10" t="s">
        <v>32</v>
      </c>
      <c r="F23" s="11" t="n">
        <v>1</v>
      </c>
      <c r="G23" s="12" t="n">
        <v>0</v>
      </c>
      <c r="H23" s="13" t="n">
        <f aca="false">D23*F23*(1+G23)</f>
        <v>2.2</v>
      </c>
      <c r="I23" s="11" t="n">
        <v>1</v>
      </c>
      <c r="J23" s="7" t="s">
        <v>24</v>
      </c>
      <c r="K23" s="14" t="n">
        <f aca="false">ROUNDUP(H23/I23,0)</f>
        <v>3</v>
      </c>
      <c r="L23" s="15" t="s">
        <v>66</v>
      </c>
      <c r="M23" s="16"/>
      <c r="N23" s="17" t="str">
        <f aca="false">IF(M23="","",K23*M23)</f>
        <v/>
      </c>
    </row>
    <row r="24" customFormat="false" ht="15" hidden="false" customHeight="false" outlineLevel="0" collapsed="false">
      <c r="A24" s="4"/>
      <c r="B24" s="5" t="s">
        <v>67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22.35" hidden="false" customHeight="false" outlineLevel="0" collapsed="false">
      <c r="A25" s="7" t="n">
        <v>18</v>
      </c>
      <c r="B25" s="8" t="s">
        <v>68</v>
      </c>
      <c r="C25" s="7" t="s">
        <v>69</v>
      </c>
      <c r="D25" s="9" t="n">
        <f aca="false">Объёмы!C65</f>
        <v>395.16</v>
      </c>
      <c r="E25" s="10" t="s">
        <v>70</v>
      </c>
      <c r="F25" s="11" t="n">
        <v>0.15</v>
      </c>
      <c r="G25" s="12" t="n">
        <v>0.1</v>
      </c>
      <c r="H25" s="13" t="n">
        <f aca="false">D25*F25*(1+G25)</f>
        <v>65.2014</v>
      </c>
      <c r="I25" s="11" t="n">
        <v>10</v>
      </c>
      <c r="J25" s="7" t="s">
        <v>71</v>
      </c>
      <c r="K25" s="14" t="n">
        <f aca="false">ROUNDUP(H25/I25,0)</f>
        <v>7</v>
      </c>
      <c r="L25" s="15"/>
      <c r="M25" s="16"/>
      <c r="N25" s="17" t="str">
        <f aca="false">IF(M25="","",K25*M25)</f>
        <v/>
      </c>
    </row>
    <row r="26" customFormat="false" ht="23.85" hidden="false" customHeight="false" outlineLevel="0" collapsed="false">
      <c r="A26" s="7" t="n">
        <v>19</v>
      </c>
      <c r="B26" s="8" t="s">
        <v>72</v>
      </c>
      <c r="C26" s="7" t="s">
        <v>48</v>
      </c>
      <c r="D26" s="9" t="n">
        <f aca="false">Объёмы!C10</f>
        <v>79.25</v>
      </c>
      <c r="E26" s="10" t="s">
        <v>73</v>
      </c>
      <c r="F26" s="11" t="n">
        <v>0.3</v>
      </c>
      <c r="G26" s="12" t="n">
        <v>0.1</v>
      </c>
      <c r="H26" s="13" t="n">
        <f aca="false">D26*F26*(1+G26)</f>
        <v>26.1525</v>
      </c>
      <c r="I26" s="11" t="n">
        <v>20</v>
      </c>
      <c r="J26" s="7" t="s">
        <v>74</v>
      </c>
      <c r="K26" s="14" t="n">
        <f aca="false">ROUNDUP(H26/I26,0)</f>
        <v>2</v>
      </c>
      <c r="L26" s="15" t="s">
        <v>75</v>
      </c>
      <c r="M26" s="16"/>
      <c r="N26" s="17" t="str">
        <f aca="false">IF(M26="","",K26*M26)</f>
        <v/>
      </c>
    </row>
    <row r="27" customFormat="false" ht="22.35" hidden="false" customHeight="false" outlineLevel="0" collapsed="false">
      <c r="A27" s="7" t="n">
        <v>20</v>
      </c>
      <c r="B27" s="8" t="s">
        <v>76</v>
      </c>
      <c r="C27" s="7" t="s">
        <v>48</v>
      </c>
      <c r="D27" s="9" t="n">
        <f aca="false">Объёмы!C10</f>
        <v>79.25</v>
      </c>
      <c r="E27" s="10" t="s">
        <v>73</v>
      </c>
      <c r="F27" s="11" t="n">
        <v>12.75</v>
      </c>
      <c r="G27" s="12" t="n">
        <v>0.1</v>
      </c>
      <c r="H27" s="13" t="n">
        <f aca="false">D27*F27*(1+G27)</f>
        <v>1111.48125</v>
      </c>
      <c r="I27" s="11" t="n">
        <v>30</v>
      </c>
      <c r="J27" s="7" t="s">
        <v>49</v>
      </c>
      <c r="K27" s="14" t="n">
        <f aca="false">ROUNDUP(H27/I27,0)</f>
        <v>38</v>
      </c>
      <c r="L27" s="15" t="s">
        <v>77</v>
      </c>
      <c r="M27" s="16"/>
      <c r="N27" s="17" t="str">
        <f aca="false">IF(M27="","",K27*M27)</f>
        <v/>
      </c>
    </row>
    <row r="28" customFormat="false" ht="15" hidden="false" customHeight="false" outlineLevel="0" collapsed="false">
      <c r="A28" s="7" t="n">
        <v>21</v>
      </c>
      <c r="B28" s="8" t="s">
        <v>78</v>
      </c>
      <c r="C28" s="7" t="s">
        <v>48</v>
      </c>
      <c r="D28" s="9" t="n">
        <f aca="false">Объёмы!C11</f>
        <v>23.9</v>
      </c>
      <c r="E28" s="10" t="s">
        <v>79</v>
      </c>
      <c r="F28" s="11" t="n">
        <v>17</v>
      </c>
      <c r="G28" s="12" t="n">
        <v>0.1</v>
      </c>
      <c r="H28" s="13" t="n">
        <f aca="false">D28*F28*(1+G28)</f>
        <v>446.93</v>
      </c>
      <c r="I28" s="11" t="n">
        <v>25</v>
      </c>
      <c r="J28" s="7" t="s">
        <v>49</v>
      </c>
      <c r="K28" s="14" t="n">
        <f aca="false">ROUNDUP(H28/I28,0)</f>
        <v>18</v>
      </c>
      <c r="L28" s="15" t="s">
        <v>80</v>
      </c>
      <c r="M28" s="16"/>
      <c r="N28" s="17" t="str">
        <f aca="false">IF(M28="","",K28*M28)</f>
        <v/>
      </c>
    </row>
    <row r="29" customFormat="false" ht="22.35" hidden="false" customHeight="false" outlineLevel="0" collapsed="false">
      <c r="A29" s="7" t="n">
        <v>22</v>
      </c>
      <c r="B29" s="8" t="s">
        <v>81</v>
      </c>
      <c r="C29" s="7" t="s">
        <v>26</v>
      </c>
      <c r="D29" s="9" t="n">
        <f aca="false">Объёмы!C12</f>
        <v>38.2</v>
      </c>
      <c r="E29" s="10" t="s">
        <v>82</v>
      </c>
      <c r="F29" s="11" t="n">
        <v>0.85</v>
      </c>
      <c r="G29" s="12" t="n">
        <v>0.1</v>
      </c>
      <c r="H29" s="13" t="n">
        <f aca="false">D29*F29*(1+G29)</f>
        <v>35.717</v>
      </c>
      <c r="I29" s="11" t="n">
        <v>1</v>
      </c>
      <c r="J29" s="7" t="s">
        <v>26</v>
      </c>
      <c r="K29" s="14" t="n">
        <f aca="false">ROUNDUP(H29/I29,0)</f>
        <v>36</v>
      </c>
      <c r="L29" s="15" t="s">
        <v>83</v>
      </c>
      <c r="M29" s="16"/>
      <c r="N29" s="17" t="str">
        <f aca="false">IF(M29="","",K29*M29)</f>
        <v/>
      </c>
    </row>
    <row r="30" customFormat="false" ht="22.35" hidden="false" customHeight="false" outlineLevel="0" collapsed="false">
      <c r="A30" s="7" t="n">
        <v>23</v>
      </c>
      <c r="B30" s="8" t="s">
        <v>84</v>
      </c>
      <c r="C30" s="7" t="s">
        <v>24</v>
      </c>
      <c r="D30" s="9" t="n">
        <f aca="false">Объёмы!C66</f>
        <v>29.8</v>
      </c>
      <c r="E30" s="10" t="s">
        <v>85</v>
      </c>
      <c r="F30" s="11" t="n">
        <v>1</v>
      </c>
      <c r="G30" s="12" t="n">
        <v>0.1</v>
      </c>
      <c r="H30" s="13" t="n">
        <f aca="false">D30*F30*(1+G30)</f>
        <v>32.78</v>
      </c>
      <c r="I30" s="11" t="n">
        <v>3</v>
      </c>
      <c r="J30" s="7" t="s">
        <v>26</v>
      </c>
      <c r="K30" s="14" t="n">
        <f aca="false">ROUNDUP(H30/I30,0)</f>
        <v>11</v>
      </c>
      <c r="L30" s="15" t="s">
        <v>86</v>
      </c>
      <c r="M30" s="16"/>
      <c r="N30" s="17" t="str">
        <f aca="false">IF(M30="","",K30*M30)</f>
        <v/>
      </c>
    </row>
    <row r="31" customFormat="false" ht="15" hidden="false" customHeight="false" outlineLevel="0" collapsed="false">
      <c r="A31" s="7" t="n">
        <v>24</v>
      </c>
      <c r="B31" s="8" t="s">
        <v>87</v>
      </c>
      <c r="C31" s="7" t="s">
        <v>19</v>
      </c>
      <c r="D31" s="18" t="n">
        <v>10</v>
      </c>
      <c r="E31" s="10" t="s">
        <v>32</v>
      </c>
      <c r="F31" s="11" t="n">
        <v>1</v>
      </c>
      <c r="G31" s="12" t="n">
        <v>0</v>
      </c>
      <c r="H31" s="13" t="n">
        <f aca="false">D31*F31*(1+G31)</f>
        <v>10</v>
      </c>
      <c r="I31" s="11" t="n">
        <v>50</v>
      </c>
      <c r="J31" s="7" t="s">
        <v>38</v>
      </c>
      <c r="K31" s="14" t="n">
        <f aca="false">ROUNDUP(H31/I31,0)</f>
        <v>1</v>
      </c>
      <c r="L31" s="15" t="s">
        <v>88</v>
      </c>
      <c r="M31" s="16"/>
      <c r="N31" s="17" t="str">
        <f aca="false">IF(M31="","",K31*M31)</f>
        <v/>
      </c>
    </row>
    <row r="32" customFormat="false" ht="22.35" hidden="false" customHeight="false" outlineLevel="0" collapsed="false">
      <c r="A32" s="7" t="n">
        <v>25</v>
      </c>
      <c r="B32" s="8" t="s">
        <v>89</v>
      </c>
      <c r="C32" s="7" t="s">
        <v>48</v>
      </c>
      <c r="D32" s="9" t="n">
        <f aca="false">Объёмы!C5</f>
        <v>131.12</v>
      </c>
      <c r="E32" s="10" t="s">
        <v>90</v>
      </c>
      <c r="F32" s="11" t="n">
        <v>1.2</v>
      </c>
      <c r="G32" s="12" t="n">
        <v>0.1</v>
      </c>
      <c r="H32" s="13" t="n">
        <f aca="false">D32*F32*(1+G32)</f>
        <v>173.0784</v>
      </c>
      <c r="I32" s="11" t="n">
        <v>20</v>
      </c>
      <c r="J32" s="7" t="s">
        <v>49</v>
      </c>
      <c r="K32" s="14" t="n">
        <f aca="false">ROUNDUP(H32/I32,0)</f>
        <v>9</v>
      </c>
      <c r="L32" s="15" t="s">
        <v>91</v>
      </c>
      <c r="M32" s="16"/>
      <c r="N32" s="17" t="str">
        <f aca="false">IF(M32="","",K32*M32)</f>
        <v/>
      </c>
    </row>
    <row r="33" customFormat="false" ht="22.35" hidden="false" customHeight="false" outlineLevel="0" collapsed="false">
      <c r="A33" s="7" t="n">
        <v>26</v>
      </c>
      <c r="B33" s="8" t="s">
        <v>92</v>
      </c>
      <c r="C33" s="7" t="s">
        <v>19</v>
      </c>
      <c r="D33" s="9" t="n">
        <f aca="false">Объёмы!C5</f>
        <v>131.12</v>
      </c>
      <c r="E33" s="10" t="s">
        <v>90</v>
      </c>
      <c r="F33" s="11" t="n">
        <v>1.1</v>
      </c>
      <c r="G33" s="12" t="n">
        <v>0.05</v>
      </c>
      <c r="H33" s="13" t="n">
        <f aca="false">D33*F33*(1+G33)</f>
        <v>151.4436</v>
      </c>
      <c r="I33" s="11" t="n">
        <v>50</v>
      </c>
      <c r="J33" s="7" t="s">
        <v>38</v>
      </c>
      <c r="K33" s="14" t="n">
        <f aca="false">ROUNDUP(H33/I33,0)</f>
        <v>4</v>
      </c>
      <c r="L33" s="15" t="s">
        <v>93</v>
      </c>
      <c r="M33" s="16"/>
      <c r="N33" s="17" t="str">
        <f aca="false">IF(M33="","",K33*M33)</f>
        <v/>
      </c>
    </row>
    <row r="34" customFormat="false" ht="22.35" hidden="false" customHeight="false" outlineLevel="0" collapsed="false">
      <c r="A34" s="7" t="n">
        <v>27</v>
      </c>
      <c r="B34" s="8" t="s">
        <v>94</v>
      </c>
      <c r="C34" s="7" t="s">
        <v>48</v>
      </c>
      <c r="D34" s="9" t="n">
        <f aca="false">Объёмы!C5</f>
        <v>131.12</v>
      </c>
      <c r="E34" s="10" t="s">
        <v>90</v>
      </c>
      <c r="F34" s="11" t="n">
        <v>0.25</v>
      </c>
      <c r="G34" s="12" t="n">
        <v>0.1</v>
      </c>
      <c r="H34" s="13" t="n">
        <f aca="false">D34*F34*(1+G34)</f>
        <v>36.058</v>
      </c>
      <c r="I34" s="11" t="n">
        <v>10</v>
      </c>
      <c r="J34" s="7" t="s">
        <v>74</v>
      </c>
      <c r="K34" s="14" t="n">
        <f aca="false">ROUNDUP(H34/I34,0)</f>
        <v>4</v>
      </c>
      <c r="L34" s="15"/>
      <c r="M34" s="16"/>
      <c r="N34" s="17" t="str">
        <f aca="false">IF(M34="","",K34*M34)</f>
        <v/>
      </c>
    </row>
    <row r="35" customFormat="false" ht="22.35" hidden="false" customHeight="false" outlineLevel="0" collapsed="false">
      <c r="A35" s="7" t="n">
        <v>28</v>
      </c>
      <c r="B35" s="8" t="s">
        <v>95</v>
      </c>
      <c r="C35" s="7" t="s">
        <v>69</v>
      </c>
      <c r="D35" s="9" t="n">
        <f aca="false">Объёмы!C5</f>
        <v>131.12</v>
      </c>
      <c r="E35" s="10" t="s">
        <v>90</v>
      </c>
      <c r="F35" s="11" t="n">
        <v>0.24</v>
      </c>
      <c r="G35" s="12" t="n">
        <v>0.1</v>
      </c>
      <c r="H35" s="13" t="n">
        <f aca="false">D35*F35*(1+G35)</f>
        <v>34.61568</v>
      </c>
      <c r="I35" s="11" t="n">
        <v>9</v>
      </c>
      <c r="J35" s="7" t="s">
        <v>74</v>
      </c>
      <c r="K35" s="14" t="n">
        <f aca="false">ROUNDUP(H35/I35,0)</f>
        <v>4</v>
      </c>
      <c r="L35" s="15" t="s">
        <v>96</v>
      </c>
      <c r="M35" s="16"/>
      <c r="N35" s="17" t="str">
        <f aca="false">IF(M35="","",K35*M35)</f>
        <v/>
      </c>
    </row>
    <row r="36" customFormat="false" ht="15" hidden="false" customHeight="false" outlineLevel="0" collapsed="false">
      <c r="A36" s="7" t="n">
        <v>29</v>
      </c>
      <c r="B36" s="8" t="s">
        <v>97</v>
      </c>
      <c r="C36" s="7" t="s">
        <v>26</v>
      </c>
      <c r="D36" s="18" t="n">
        <v>6</v>
      </c>
      <c r="E36" s="10" t="s">
        <v>32</v>
      </c>
      <c r="F36" s="11" t="n">
        <v>1</v>
      </c>
      <c r="G36" s="12" t="n">
        <v>0</v>
      </c>
      <c r="H36" s="13" t="n">
        <f aca="false">D36*F36*(1+G36)</f>
        <v>6</v>
      </c>
      <c r="I36" s="11" t="n">
        <v>1</v>
      </c>
      <c r="J36" s="7" t="s">
        <v>98</v>
      </c>
      <c r="K36" s="14" t="n">
        <f aca="false">ROUNDUP(H36/I36,0)</f>
        <v>6</v>
      </c>
      <c r="L36" s="15" t="s">
        <v>99</v>
      </c>
      <c r="M36" s="16"/>
      <c r="N36" s="17" t="str">
        <f aca="false">IF(M36="","",K36*M36)</f>
        <v/>
      </c>
    </row>
    <row r="37" customFormat="false" ht="15" hidden="false" customHeight="false" outlineLevel="0" collapsed="false">
      <c r="A37" s="4"/>
      <c r="B37" s="5" t="s">
        <v>100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7" t="n">
        <v>30</v>
      </c>
      <c r="B38" s="8" t="s">
        <v>101</v>
      </c>
      <c r="C38" s="7" t="s">
        <v>19</v>
      </c>
      <c r="D38" s="9" t="n">
        <f aca="false">Объёмы!C17</f>
        <v>54.51</v>
      </c>
      <c r="E38" s="10" t="s">
        <v>102</v>
      </c>
      <c r="F38" s="11" t="n">
        <v>1</v>
      </c>
      <c r="G38" s="12" t="n">
        <v>0.1</v>
      </c>
      <c r="H38" s="13" t="n">
        <f aca="false">D38*F38*(1+G38)</f>
        <v>59.961</v>
      </c>
      <c r="I38" s="11" t="n">
        <v>10</v>
      </c>
      <c r="J38" s="7" t="s">
        <v>38</v>
      </c>
      <c r="K38" s="14" t="n">
        <f aca="false">ROUNDUP(H38/I38,0)</f>
        <v>6</v>
      </c>
      <c r="L38" s="15"/>
      <c r="M38" s="16"/>
      <c r="N38" s="17" t="str">
        <f aca="false">IF(M38="","",K38*M38)</f>
        <v/>
      </c>
    </row>
    <row r="39" customFormat="false" ht="15" hidden="false" customHeight="false" outlineLevel="0" collapsed="false">
      <c r="A39" s="7" t="n">
        <v>31</v>
      </c>
      <c r="B39" s="8" t="s">
        <v>103</v>
      </c>
      <c r="C39" s="7" t="s">
        <v>19</v>
      </c>
      <c r="D39" s="9" t="n">
        <f aca="false">Объёмы!C17</f>
        <v>54.51</v>
      </c>
      <c r="E39" s="10" t="s">
        <v>102</v>
      </c>
      <c r="F39" s="11" t="n">
        <v>1.15</v>
      </c>
      <c r="G39" s="12" t="n">
        <v>0.05</v>
      </c>
      <c r="H39" s="13" t="n">
        <f aca="false">D39*F39*(1+G39)</f>
        <v>65.820825</v>
      </c>
      <c r="I39" s="11" t="n">
        <v>100</v>
      </c>
      <c r="J39" s="7" t="s">
        <v>38</v>
      </c>
      <c r="K39" s="14" t="n">
        <f aca="false">ROUNDUP(H39/I39,0)</f>
        <v>1</v>
      </c>
      <c r="L39" s="15" t="s">
        <v>104</v>
      </c>
      <c r="M39" s="16"/>
      <c r="N39" s="17" t="str">
        <f aca="false">IF(M39="","",K39*M39)</f>
        <v/>
      </c>
    </row>
    <row r="40" customFormat="false" ht="15" hidden="false" customHeight="false" outlineLevel="0" collapsed="false">
      <c r="A40" s="7" t="n">
        <v>32</v>
      </c>
      <c r="B40" s="8" t="s">
        <v>105</v>
      </c>
      <c r="C40" s="7" t="s">
        <v>24</v>
      </c>
      <c r="D40" s="9" t="n">
        <f aca="false">Объёмы!C19</f>
        <v>59.2</v>
      </c>
      <c r="E40" s="10" t="s">
        <v>106</v>
      </c>
      <c r="F40" s="11" t="n">
        <v>1</v>
      </c>
      <c r="G40" s="12" t="n">
        <v>0.05</v>
      </c>
      <c r="H40" s="13" t="n">
        <f aca="false">D40*F40*(1+G40)</f>
        <v>62.16</v>
      </c>
      <c r="I40" s="11" t="n">
        <v>25</v>
      </c>
      <c r="J40" s="7" t="s">
        <v>38</v>
      </c>
      <c r="K40" s="14" t="n">
        <f aca="false">ROUNDUP(H40/I40,0)</f>
        <v>3</v>
      </c>
      <c r="L40" s="15"/>
      <c r="M40" s="16"/>
      <c r="N40" s="17" t="str">
        <f aca="false">IF(M40="","",K40*M40)</f>
        <v/>
      </c>
    </row>
    <row r="41" customFormat="false" ht="22.35" hidden="false" customHeight="false" outlineLevel="0" collapsed="false">
      <c r="A41" s="7" t="n">
        <v>33</v>
      </c>
      <c r="B41" s="8" t="s">
        <v>107</v>
      </c>
      <c r="C41" s="7" t="s">
        <v>48</v>
      </c>
      <c r="D41" s="9" t="n">
        <f aca="false">Объёмы!C18</f>
        <v>3153.86</v>
      </c>
      <c r="E41" s="10" t="s">
        <v>108</v>
      </c>
      <c r="F41" s="11" t="n">
        <v>2</v>
      </c>
      <c r="G41" s="12" t="n">
        <v>0.05</v>
      </c>
      <c r="H41" s="13" t="n">
        <f aca="false">D41*F41*(1+G41)</f>
        <v>6623.106</v>
      </c>
      <c r="I41" s="11" t="n">
        <v>40</v>
      </c>
      <c r="J41" s="7" t="s">
        <v>49</v>
      </c>
      <c r="K41" s="14" t="n">
        <f aca="false">ROUNDUP(H41/I41,0)</f>
        <v>166</v>
      </c>
      <c r="L41" s="15" t="s">
        <v>109</v>
      </c>
      <c r="M41" s="16"/>
      <c r="N41" s="17" t="str">
        <f aca="false">IF(M41="","",K41*M41)</f>
        <v/>
      </c>
    </row>
    <row r="42" customFormat="false" ht="22.35" hidden="false" customHeight="false" outlineLevel="0" collapsed="false">
      <c r="A42" s="7" t="n">
        <v>34</v>
      </c>
      <c r="B42" s="8" t="s">
        <v>110</v>
      </c>
      <c r="C42" s="7" t="s">
        <v>19</v>
      </c>
      <c r="D42" s="9" t="n">
        <f aca="false">Объёмы!C64</f>
        <v>49.88</v>
      </c>
      <c r="E42" s="10" t="s">
        <v>111</v>
      </c>
      <c r="F42" s="11" t="n">
        <v>1</v>
      </c>
      <c r="G42" s="12" t="n">
        <v>0.1</v>
      </c>
      <c r="H42" s="13" t="n">
        <f aca="false">D42*F42*(1+G42)</f>
        <v>54.868</v>
      </c>
      <c r="I42" s="11" t="n">
        <v>1</v>
      </c>
      <c r="J42" s="7" t="s">
        <v>112</v>
      </c>
      <c r="K42" s="14" t="n">
        <f aca="false">ROUNDUP(H42/I42,0)</f>
        <v>55</v>
      </c>
      <c r="L42" s="15"/>
      <c r="M42" s="16"/>
      <c r="N42" s="17" t="str">
        <f aca="false">IF(M42="","",K42*M42)</f>
        <v/>
      </c>
    </row>
    <row r="43" customFormat="false" ht="15" hidden="false" customHeight="false" outlineLevel="0" collapsed="false">
      <c r="A43" s="7" t="n">
        <v>35</v>
      </c>
      <c r="B43" s="8" t="s">
        <v>113</v>
      </c>
      <c r="C43" s="7" t="s">
        <v>26</v>
      </c>
      <c r="D43" s="9" t="n">
        <f aca="false">Объёмы!C17</f>
        <v>54.51</v>
      </c>
      <c r="E43" s="10" t="s">
        <v>102</v>
      </c>
      <c r="F43" s="11" t="n">
        <v>0.3</v>
      </c>
      <c r="G43" s="12" t="n">
        <v>0.1</v>
      </c>
      <c r="H43" s="13" t="n">
        <f aca="false">D43*F43*(1+G43)</f>
        <v>17.9883</v>
      </c>
      <c r="I43" s="11" t="n">
        <v>1</v>
      </c>
      <c r="J43" s="7" t="s">
        <v>26</v>
      </c>
      <c r="K43" s="14" t="n">
        <f aca="false">ROUNDUP(H43/I43,0)</f>
        <v>18</v>
      </c>
      <c r="L43" s="15"/>
      <c r="M43" s="16"/>
      <c r="N43" s="17" t="str">
        <f aca="false">IF(M43="","",K43*M43)</f>
        <v/>
      </c>
    </row>
    <row r="44" customFormat="false" ht="15" hidden="false" customHeight="false" outlineLevel="0" collapsed="false">
      <c r="A44" s="7" t="n">
        <v>36</v>
      </c>
      <c r="B44" s="8" t="s">
        <v>114</v>
      </c>
      <c r="C44" s="7" t="s">
        <v>19</v>
      </c>
      <c r="D44" s="9" t="n">
        <f aca="false">Объёмы!C13</f>
        <v>39.67</v>
      </c>
      <c r="E44" s="10" t="s">
        <v>115</v>
      </c>
      <c r="F44" s="11" t="n">
        <v>1</v>
      </c>
      <c r="G44" s="12" t="n">
        <v>0.1</v>
      </c>
      <c r="H44" s="13" t="n">
        <f aca="false">D44*F44*(1+G44)</f>
        <v>43.637</v>
      </c>
      <c r="I44" s="11" t="n">
        <v>2</v>
      </c>
      <c r="J44" s="7" t="s">
        <v>35</v>
      </c>
      <c r="K44" s="14" t="n">
        <f aca="false">ROUNDUP(H44/I44,0)</f>
        <v>22</v>
      </c>
      <c r="L44" s="15" t="s">
        <v>116</v>
      </c>
      <c r="M44" s="16"/>
      <c r="N44" s="17" t="str">
        <f aca="false">IF(M44="","",K44*M44)</f>
        <v/>
      </c>
    </row>
    <row r="45" customFormat="false" ht="15" hidden="false" customHeight="false" outlineLevel="0" collapsed="false">
      <c r="A45" s="7" t="n">
        <v>37</v>
      </c>
      <c r="B45" s="8" t="s">
        <v>117</v>
      </c>
      <c r="C45" s="7" t="s">
        <v>19</v>
      </c>
      <c r="D45" s="9" t="n">
        <f aca="false">Объёмы!C13</f>
        <v>39.67</v>
      </c>
      <c r="E45" s="10" t="s">
        <v>115</v>
      </c>
      <c r="F45" s="11" t="n">
        <v>1</v>
      </c>
      <c r="G45" s="12" t="n">
        <v>0.1</v>
      </c>
      <c r="H45" s="13" t="n">
        <f aca="false">D45*F45*(1+G45)</f>
        <v>43.637</v>
      </c>
      <c r="I45" s="11" t="n">
        <v>10</v>
      </c>
      <c r="J45" s="7" t="s">
        <v>38</v>
      </c>
      <c r="K45" s="14" t="n">
        <f aca="false">ROUNDUP(H45/I45,0)</f>
        <v>5</v>
      </c>
      <c r="L45" s="15"/>
      <c r="M45" s="16"/>
      <c r="N45" s="17" t="str">
        <f aca="false">IF(M45="","",K45*M45)</f>
        <v/>
      </c>
    </row>
    <row r="46" customFormat="false" ht="15" hidden="false" customHeight="false" outlineLevel="0" collapsed="false">
      <c r="A46" s="7" t="n">
        <v>38</v>
      </c>
      <c r="B46" s="8" t="s">
        <v>118</v>
      </c>
      <c r="C46" s="7" t="s">
        <v>19</v>
      </c>
      <c r="D46" s="9" t="n">
        <f aca="false">Объёмы!C13</f>
        <v>39.67</v>
      </c>
      <c r="E46" s="10" t="s">
        <v>115</v>
      </c>
      <c r="F46" s="11" t="n">
        <v>1.15</v>
      </c>
      <c r="G46" s="12" t="n">
        <v>0.05</v>
      </c>
      <c r="H46" s="13" t="n">
        <f aca="false">D46*F46*(1+G46)</f>
        <v>47.901525</v>
      </c>
      <c r="I46" s="11" t="n">
        <v>30</v>
      </c>
      <c r="J46" s="7" t="s">
        <v>38</v>
      </c>
      <c r="K46" s="14" t="n">
        <f aca="false">ROUNDUP(H46/I46,0)</f>
        <v>2</v>
      </c>
      <c r="L46" s="15" t="s">
        <v>119</v>
      </c>
      <c r="M46" s="16"/>
      <c r="N46" s="17" t="str">
        <f aca="false">IF(M46="","",K46*M46)</f>
        <v/>
      </c>
    </row>
    <row r="47" customFormat="false" ht="15" hidden="false" customHeight="false" outlineLevel="0" collapsed="false">
      <c r="A47" s="7" t="n">
        <v>39</v>
      </c>
      <c r="B47" s="8" t="s">
        <v>120</v>
      </c>
      <c r="C47" s="7" t="s">
        <v>24</v>
      </c>
      <c r="D47" s="18" t="n">
        <v>2.4</v>
      </c>
      <c r="E47" s="10" t="s">
        <v>32</v>
      </c>
      <c r="F47" s="11" t="n">
        <v>1</v>
      </c>
      <c r="G47" s="12" t="n">
        <v>0.1</v>
      </c>
      <c r="H47" s="13" t="n">
        <f aca="false">D47*F47*(1+G47)</f>
        <v>2.64</v>
      </c>
      <c r="I47" s="11" t="n">
        <v>0.9</v>
      </c>
      <c r="J47" s="7" t="s">
        <v>26</v>
      </c>
      <c r="K47" s="14" t="n">
        <f aca="false">ROUNDUP(H47/I47,0)</f>
        <v>3</v>
      </c>
      <c r="L47" s="15" t="s">
        <v>121</v>
      </c>
      <c r="M47" s="16"/>
      <c r="N47" s="17" t="str">
        <f aca="false">IF(M47="","",K47*M47)</f>
        <v/>
      </c>
    </row>
    <row r="48" customFormat="false" ht="15" hidden="false" customHeight="false" outlineLevel="0" collapsed="false">
      <c r="A48" s="4"/>
      <c r="B48" s="5" t="s">
        <v>122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customFormat="false" ht="15" hidden="false" customHeight="false" outlineLevel="0" collapsed="false">
      <c r="A49" s="7" t="n">
        <v>40</v>
      </c>
      <c r="B49" s="8" t="s">
        <v>123</v>
      </c>
      <c r="C49" s="7" t="s">
        <v>19</v>
      </c>
      <c r="D49" s="9" t="n">
        <f aca="false">Объёмы!C14</f>
        <v>10.21</v>
      </c>
      <c r="E49" s="10" t="s">
        <v>124</v>
      </c>
      <c r="F49" s="11" t="n">
        <v>1</v>
      </c>
      <c r="G49" s="12" t="n">
        <v>0.1</v>
      </c>
      <c r="H49" s="13" t="n">
        <f aca="false">D49*F49*(1+G49)</f>
        <v>11.231</v>
      </c>
      <c r="I49" s="11" t="n">
        <v>1.44</v>
      </c>
      <c r="J49" s="7" t="s">
        <v>125</v>
      </c>
      <c r="K49" s="14" t="n">
        <f aca="false">ROUNDUP(H49/I49,0)</f>
        <v>8</v>
      </c>
      <c r="L49" s="15" t="s">
        <v>126</v>
      </c>
      <c r="M49" s="16"/>
      <c r="N49" s="17" t="str">
        <f aca="false">IF(M49="","",K49*M49)</f>
        <v/>
      </c>
    </row>
    <row r="50" customFormat="false" ht="15" hidden="false" customHeight="false" outlineLevel="0" collapsed="false">
      <c r="A50" s="7" t="n">
        <v>41</v>
      </c>
      <c r="B50" s="8" t="s">
        <v>127</v>
      </c>
      <c r="C50" s="7" t="s">
        <v>19</v>
      </c>
      <c r="D50" s="9" t="n">
        <f aca="false">Объёмы!C15</f>
        <v>4.62</v>
      </c>
      <c r="E50" s="10" t="s">
        <v>128</v>
      </c>
      <c r="F50" s="11" t="n">
        <v>1</v>
      </c>
      <c r="G50" s="12" t="n">
        <v>0.15</v>
      </c>
      <c r="H50" s="13" t="n">
        <f aca="false">D50*F50*(1+G50)</f>
        <v>5.313</v>
      </c>
      <c r="I50" s="11" t="n">
        <v>1.44</v>
      </c>
      <c r="J50" s="7" t="s">
        <v>125</v>
      </c>
      <c r="K50" s="14" t="n">
        <f aca="false">ROUNDUP(H50/I50,0)</f>
        <v>4</v>
      </c>
      <c r="L50" s="15" t="s">
        <v>129</v>
      </c>
      <c r="M50" s="16"/>
      <c r="N50" s="17" t="str">
        <f aca="false">IF(M50="","",K50*M50)</f>
        <v/>
      </c>
    </row>
    <row r="51" customFormat="false" ht="15" hidden="false" customHeight="false" outlineLevel="0" collapsed="false">
      <c r="A51" s="7" t="n">
        <v>42</v>
      </c>
      <c r="B51" s="8" t="s">
        <v>130</v>
      </c>
      <c r="C51" s="7" t="s">
        <v>19</v>
      </c>
      <c r="D51" s="9" t="n">
        <f aca="false">Объёмы!C8</f>
        <v>17.56</v>
      </c>
      <c r="E51" s="10" t="s">
        <v>131</v>
      </c>
      <c r="F51" s="11" t="n">
        <v>1</v>
      </c>
      <c r="G51" s="12" t="n">
        <v>0.12</v>
      </c>
      <c r="H51" s="13" t="n">
        <f aca="false">D51*F51*(1+G51)</f>
        <v>19.6672</v>
      </c>
      <c r="I51" s="11" t="n">
        <v>1.44</v>
      </c>
      <c r="J51" s="7" t="s">
        <v>125</v>
      </c>
      <c r="K51" s="14" t="n">
        <f aca="false">ROUNDUP(H51/I51,0)</f>
        <v>14</v>
      </c>
      <c r="L51" s="15"/>
      <c r="M51" s="16"/>
      <c r="N51" s="17" t="str">
        <f aca="false">IF(M51="","",K51*M51)</f>
        <v/>
      </c>
    </row>
    <row r="52" customFormat="false" ht="22.35" hidden="false" customHeight="false" outlineLevel="0" collapsed="false">
      <c r="A52" s="7" t="n">
        <v>43</v>
      </c>
      <c r="B52" s="8" t="s">
        <v>132</v>
      </c>
      <c r="C52" s="7" t="s">
        <v>19</v>
      </c>
      <c r="D52" s="9" t="n">
        <f aca="false">Объёмы!C7</f>
        <v>6.34</v>
      </c>
      <c r="E52" s="10" t="s">
        <v>133</v>
      </c>
      <c r="F52" s="11" t="n">
        <v>1</v>
      </c>
      <c r="G52" s="12" t="n">
        <v>0.12</v>
      </c>
      <c r="H52" s="13" t="n">
        <f aca="false">D52*F52*(1+G52)</f>
        <v>7.1008</v>
      </c>
      <c r="I52" s="11" t="n">
        <v>1</v>
      </c>
      <c r="J52" s="7" t="s">
        <v>125</v>
      </c>
      <c r="K52" s="14" t="n">
        <f aca="false">ROUNDUP(H52/I52,0)</f>
        <v>8</v>
      </c>
      <c r="L52" s="15" t="s">
        <v>134</v>
      </c>
      <c r="M52" s="16"/>
      <c r="N52" s="17" t="str">
        <f aca="false">IF(M52="","",K52*M52)</f>
        <v/>
      </c>
    </row>
    <row r="53" customFormat="false" ht="15" hidden="false" customHeight="false" outlineLevel="0" collapsed="false">
      <c r="A53" s="7" t="n">
        <v>44</v>
      </c>
      <c r="B53" s="8" t="s">
        <v>135</v>
      </c>
      <c r="C53" s="7" t="s">
        <v>19</v>
      </c>
      <c r="D53" s="9" t="n">
        <f aca="false">Объёмы!C9</f>
        <v>2.4</v>
      </c>
      <c r="E53" s="10" t="s">
        <v>136</v>
      </c>
      <c r="F53" s="11" t="n">
        <v>1</v>
      </c>
      <c r="G53" s="12" t="n">
        <v>0.15</v>
      </c>
      <c r="H53" s="13" t="n">
        <f aca="false">D53*F53*(1+G53)</f>
        <v>2.76</v>
      </c>
      <c r="I53" s="11" t="n">
        <v>1.44</v>
      </c>
      <c r="J53" s="7" t="s">
        <v>125</v>
      </c>
      <c r="K53" s="14" t="n">
        <f aca="false">ROUNDUP(H53/I53,0)</f>
        <v>2</v>
      </c>
      <c r="L53" s="15"/>
      <c r="M53" s="16"/>
      <c r="N53" s="17" t="str">
        <f aca="false">IF(M53="","",K53*M53)</f>
        <v/>
      </c>
    </row>
    <row r="54" customFormat="false" ht="15" hidden="false" customHeight="false" outlineLevel="0" collapsed="false">
      <c r="A54" s="7" t="n">
        <v>45</v>
      </c>
      <c r="B54" s="8" t="s">
        <v>137</v>
      </c>
      <c r="C54" s="7" t="s">
        <v>48</v>
      </c>
      <c r="D54" s="9" t="n">
        <f aca="false">Объёмы!C61</f>
        <v>14.83</v>
      </c>
      <c r="E54" s="10" t="s">
        <v>138</v>
      </c>
      <c r="F54" s="11" t="n">
        <v>5</v>
      </c>
      <c r="G54" s="12" t="n">
        <v>0.1</v>
      </c>
      <c r="H54" s="13" t="n">
        <f aca="false">D54*F54*(1+G54)</f>
        <v>81.565</v>
      </c>
      <c r="I54" s="11" t="n">
        <v>25</v>
      </c>
      <c r="J54" s="7" t="s">
        <v>49</v>
      </c>
      <c r="K54" s="14" t="n">
        <f aca="false">ROUNDUP(H54/I54,0)</f>
        <v>4</v>
      </c>
      <c r="L54" s="15"/>
      <c r="M54" s="16"/>
      <c r="N54" s="17" t="str">
        <f aca="false">IF(M54="","",K54*M54)</f>
        <v/>
      </c>
    </row>
    <row r="55" customFormat="false" ht="22.35" hidden="false" customHeight="false" outlineLevel="0" collapsed="false">
      <c r="A55" s="7" t="n">
        <v>46</v>
      </c>
      <c r="B55" s="8" t="s">
        <v>139</v>
      </c>
      <c r="C55" s="7" t="s">
        <v>48</v>
      </c>
      <c r="D55" s="9" t="n">
        <f aca="false">Объёмы!C62</f>
        <v>26.3</v>
      </c>
      <c r="E55" s="10" t="s">
        <v>140</v>
      </c>
      <c r="F55" s="11" t="n">
        <v>4</v>
      </c>
      <c r="G55" s="12" t="n">
        <v>0.1</v>
      </c>
      <c r="H55" s="13" t="n">
        <f aca="false">D55*F55*(1+G55)</f>
        <v>115.72</v>
      </c>
      <c r="I55" s="11" t="n">
        <v>25</v>
      </c>
      <c r="J55" s="7" t="s">
        <v>49</v>
      </c>
      <c r="K55" s="14" t="n">
        <f aca="false">ROUNDUP(H55/I55,0)</f>
        <v>5</v>
      </c>
      <c r="L55" s="15"/>
      <c r="M55" s="16"/>
      <c r="N55" s="17" t="str">
        <f aca="false">IF(M55="","",K55*M55)</f>
        <v/>
      </c>
    </row>
    <row r="56" customFormat="false" ht="22.35" hidden="false" customHeight="false" outlineLevel="0" collapsed="false">
      <c r="A56" s="7" t="n">
        <v>47</v>
      </c>
      <c r="B56" s="8" t="s">
        <v>141</v>
      </c>
      <c r="C56" s="7" t="s">
        <v>48</v>
      </c>
      <c r="D56" s="9" t="n">
        <f aca="false">Объёмы!C63</f>
        <v>41.13</v>
      </c>
      <c r="E56" s="10" t="s">
        <v>142</v>
      </c>
      <c r="F56" s="11" t="n">
        <v>0.3</v>
      </c>
      <c r="G56" s="12" t="n">
        <v>0.1</v>
      </c>
      <c r="H56" s="13" t="n">
        <f aca="false">D56*F56*(1+G56)</f>
        <v>13.5729</v>
      </c>
      <c r="I56" s="11" t="n">
        <v>2</v>
      </c>
      <c r="J56" s="7" t="s">
        <v>35</v>
      </c>
      <c r="K56" s="14" t="n">
        <f aca="false">ROUNDUP(H56/I56,0)</f>
        <v>7</v>
      </c>
      <c r="L56" s="15" t="s">
        <v>143</v>
      </c>
      <c r="M56" s="16"/>
      <c r="N56" s="17" t="str">
        <f aca="false">IF(M56="","",K56*M56)</f>
        <v/>
      </c>
    </row>
    <row r="57" customFormat="false" ht="15" hidden="false" customHeight="false" outlineLevel="0" collapsed="false">
      <c r="A57" s="7" t="n">
        <v>48</v>
      </c>
      <c r="B57" s="8" t="s">
        <v>144</v>
      </c>
      <c r="C57" s="7" t="s">
        <v>26</v>
      </c>
      <c r="D57" s="18" t="n">
        <v>1</v>
      </c>
      <c r="E57" s="10" t="s">
        <v>32</v>
      </c>
      <c r="F57" s="11" t="n">
        <v>1</v>
      </c>
      <c r="G57" s="12" t="n">
        <v>0</v>
      </c>
      <c r="H57" s="13" t="n">
        <f aca="false">D57*F57*(1+G57)</f>
        <v>1</v>
      </c>
      <c r="I57" s="11" t="n">
        <v>1</v>
      </c>
      <c r="J57" s="7" t="s">
        <v>35</v>
      </c>
      <c r="K57" s="14" t="n">
        <f aca="false">ROUNDUP(H57/I57,0)</f>
        <v>1</v>
      </c>
      <c r="L57" s="15"/>
      <c r="M57" s="16"/>
      <c r="N57" s="17" t="str">
        <f aca="false">IF(M57="","",K57*M57)</f>
        <v/>
      </c>
    </row>
    <row r="58" customFormat="false" ht="15" hidden="false" customHeight="false" outlineLevel="0" collapsed="false">
      <c r="A58" s="7" t="n">
        <v>49</v>
      </c>
      <c r="B58" s="8" t="s">
        <v>145</v>
      </c>
      <c r="C58" s="7" t="s">
        <v>26</v>
      </c>
      <c r="D58" s="9" t="n">
        <f aca="false">Объёмы!C63</f>
        <v>41.13</v>
      </c>
      <c r="E58" s="10" t="s">
        <v>142</v>
      </c>
      <c r="F58" s="11" t="n">
        <v>15</v>
      </c>
      <c r="G58" s="12" t="n">
        <v>0.1</v>
      </c>
      <c r="H58" s="13" t="n">
        <f aca="false">D58*F58*(1+G58)</f>
        <v>678.645</v>
      </c>
      <c r="I58" s="11" t="n">
        <v>100</v>
      </c>
      <c r="J58" s="7" t="s">
        <v>35</v>
      </c>
      <c r="K58" s="14" t="n">
        <f aca="false">ROUNDUP(H58/I58,0)</f>
        <v>7</v>
      </c>
      <c r="L58" s="15" t="s">
        <v>146</v>
      </c>
      <c r="M58" s="16"/>
      <c r="N58" s="17" t="str">
        <f aca="false">IF(M58="","",K58*M58)</f>
        <v/>
      </c>
    </row>
    <row r="59" customFormat="false" ht="15" hidden="false" customHeight="false" outlineLevel="0" collapsed="false">
      <c r="A59" s="7" t="n">
        <v>50</v>
      </c>
      <c r="B59" s="8" t="s">
        <v>147</v>
      </c>
      <c r="C59" s="7" t="s">
        <v>26</v>
      </c>
      <c r="D59" s="18" t="n">
        <v>200</v>
      </c>
      <c r="E59" s="10" t="s">
        <v>32</v>
      </c>
      <c r="F59" s="11" t="n">
        <v>1</v>
      </c>
      <c r="G59" s="12" t="n">
        <v>0</v>
      </c>
      <c r="H59" s="13" t="n">
        <f aca="false">D59*F59*(1+G59)</f>
        <v>200</v>
      </c>
      <c r="I59" s="11" t="n">
        <v>100</v>
      </c>
      <c r="J59" s="7" t="s">
        <v>35</v>
      </c>
      <c r="K59" s="14" t="n">
        <f aca="false">ROUNDUP(H59/I59,0)</f>
        <v>2</v>
      </c>
      <c r="L59" s="15" t="s">
        <v>148</v>
      </c>
      <c r="M59" s="16"/>
      <c r="N59" s="17" t="str">
        <f aca="false">IF(M59="","",K59*M59)</f>
        <v/>
      </c>
    </row>
    <row r="60" customFormat="false" ht="15" hidden="false" customHeight="false" outlineLevel="0" collapsed="false">
      <c r="A60" s="7" t="n">
        <v>51</v>
      </c>
      <c r="B60" s="8" t="s">
        <v>149</v>
      </c>
      <c r="C60" s="7" t="s">
        <v>26</v>
      </c>
      <c r="D60" s="18" t="n">
        <v>1</v>
      </c>
      <c r="E60" s="10" t="s">
        <v>32</v>
      </c>
      <c r="F60" s="11" t="n">
        <v>1</v>
      </c>
      <c r="G60" s="12" t="n">
        <v>0</v>
      </c>
      <c r="H60" s="13" t="n">
        <f aca="false">D60*F60*(1+G60)</f>
        <v>1</v>
      </c>
      <c r="I60" s="11" t="n">
        <v>1</v>
      </c>
      <c r="J60" s="7" t="s">
        <v>35</v>
      </c>
      <c r="K60" s="14" t="n">
        <f aca="false">ROUNDUP(H60/I60,0)</f>
        <v>1</v>
      </c>
      <c r="L60" s="15"/>
      <c r="M60" s="16"/>
      <c r="N60" s="17" t="str">
        <f aca="false">IF(M60="","",K60*M60)</f>
        <v/>
      </c>
    </row>
    <row r="61" customFormat="false" ht="22.35" hidden="false" customHeight="false" outlineLevel="0" collapsed="false">
      <c r="A61" s="7" t="n">
        <v>52</v>
      </c>
      <c r="B61" s="8" t="s">
        <v>150</v>
      </c>
      <c r="C61" s="7" t="s">
        <v>48</v>
      </c>
      <c r="D61" s="9" t="n">
        <f aca="false">Объёмы!C21</f>
        <v>9.94</v>
      </c>
      <c r="E61" s="10" t="s">
        <v>151</v>
      </c>
      <c r="F61" s="11" t="n">
        <v>2.4</v>
      </c>
      <c r="G61" s="12" t="n">
        <v>0.1</v>
      </c>
      <c r="H61" s="13" t="n">
        <f aca="false">D61*F61*(1+G61)</f>
        <v>26.2416</v>
      </c>
      <c r="I61" s="11" t="n">
        <v>15</v>
      </c>
      <c r="J61" s="7" t="s">
        <v>74</v>
      </c>
      <c r="K61" s="14" t="n">
        <f aca="false">ROUNDUP(H61/I61,0)</f>
        <v>2</v>
      </c>
      <c r="L61" s="15" t="s">
        <v>152</v>
      </c>
      <c r="M61" s="16"/>
      <c r="N61" s="17" t="str">
        <f aca="false">IF(M61="","",K61*M61)</f>
        <v/>
      </c>
    </row>
    <row r="62" customFormat="false" ht="22.35" hidden="false" customHeight="false" outlineLevel="0" collapsed="false">
      <c r="A62" s="7" t="n">
        <v>53</v>
      </c>
      <c r="B62" s="8" t="s">
        <v>153</v>
      </c>
      <c r="C62" s="7" t="s">
        <v>24</v>
      </c>
      <c r="D62" s="9" t="n">
        <f aca="false">Объёмы!C22</f>
        <v>13.3</v>
      </c>
      <c r="E62" s="10" t="s">
        <v>154</v>
      </c>
      <c r="F62" s="11" t="n">
        <v>1</v>
      </c>
      <c r="G62" s="12" t="n">
        <v>0.1</v>
      </c>
      <c r="H62" s="13" t="n">
        <f aca="false">D62*F62*(1+G62)</f>
        <v>14.63</v>
      </c>
      <c r="I62" s="11" t="n">
        <v>10</v>
      </c>
      <c r="J62" s="7" t="s">
        <v>38</v>
      </c>
      <c r="K62" s="14" t="n">
        <f aca="false">ROUNDUP(H62/I62,0)</f>
        <v>2</v>
      </c>
      <c r="L62" s="15"/>
      <c r="M62" s="16"/>
      <c r="N62" s="17" t="str">
        <f aca="false">IF(M62="","",K62*M62)</f>
        <v/>
      </c>
    </row>
    <row r="63" customFormat="false" ht="15" hidden="false" customHeight="false" outlineLevel="0" collapsed="false">
      <c r="A63" s="7" t="n">
        <v>54</v>
      </c>
      <c r="B63" s="8" t="s">
        <v>155</v>
      </c>
      <c r="C63" s="7" t="s">
        <v>26</v>
      </c>
      <c r="D63" s="18" t="n">
        <v>10</v>
      </c>
      <c r="E63" s="10" t="s">
        <v>32</v>
      </c>
      <c r="F63" s="11" t="n">
        <v>1</v>
      </c>
      <c r="G63" s="12" t="n">
        <v>0</v>
      </c>
      <c r="H63" s="13" t="n">
        <f aca="false">D63*F63*(1+G63)</f>
        <v>10</v>
      </c>
      <c r="I63" s="11" t="n">
        <v>1</v>
      </c>
      <c r="J63" s="7" t="s">
        <v>26</v>
      </c>
      <c r="K63" s="14" t="n">
        <f aca="false">ROUNDUP(H63/I63,0)</f>
        <v>10</v>
      </c>
      <c r="L63" s="15"/>
      <c r="M63" s="16"/>
      <c r="N63" s="17" t="str">
        <f aca="false">IF(M63="","",K63*M63)</f>
        <v/>
      </c>
    </row>
    <row r="64" customFormat="false" ht="15" hidden="false" customHeight="false" outlineLevel="0" collapsed="false">
      <c r="A64" s="7" t="n">
        <v>55</v>
      </c>
      <c r="B64" s="8" t="s">
        <v>156</v>
      </c>
      <c r="C64" s="7" t="s">
        <v>26</v>
      </c>
      <c r="D64" s="18" t="n">
        <v>6</v>
      </c>
      <c r="E64" s="10" t="s">
        <v>32</v>
      </c>
      <c r="F64" s="11" t="n">
        <v>1</v>
      </c>
      <c r="G64" s="12" t="n">
        <v>0</v>
      </c>
      <c r="H64" s="13" t="n">
        <f aca="false">D64*F64*(1+G64)</f>
        <v>6</v>
      </c>
      <c r="I64" s="11" t="n">
        <v>1</v>
      </c>
      <c r="J64" s="7" t="s">
        <v>26</v>
      </c>
      <c r="K64" s="14" t="n">
        <f aca="false">ROUNDUP(H64/I64,0)</f>
        <v>6</v>
      </c>
      <c r="L64" s="15"/>
      <c r="M64" s="16"/>
      <c r="N64" s="17" t="str">
        <f aca="false">IF(M64="","",K64*M64)</f>
        <v/>
      </c>
    </row>
    <row r="65" customFormat="false" ht="15" hidden="false" customHeight="false" outlineLevel="0" collapsed="false">
      <c r="A65" s="7" t="n">
        <v>56</v>
      </c>
      <c r="B65" s="8" t="s">
        <v>157</v>
      </c>
      <c r="C65" s="7" t="s">
        <v>24</v>
      </c>
      <c r="D65" s="18" t="n">
        <v>7</v>
      </c>
      <c r="E65" s="10" t="s">
        <v>32</v>
      </c>
      <c r="F65" s="11" t="n">
        <v>1</v>
      </c>
      <c r="G65" s="12" t="n">
        <v>0.1</v>
      </c>
      <c r="H65" s="13" t="n">
        <f aca="false">D65*F65*(1+G65)</f>
        <v>7.7</v>
      </c>
      <c r="I65" s="11" t="n">
        <v>2.5</v>
      </c>
      <c r="J65" s="7" t="s">
        <v>26</v>
      </c>
      <c r="K65" s="14" t="n">
        <f aca="false">ROUNDUP(H65/I65,0)</f>
        <v>4</v>
      </c>
      <c r="L65" s="15" t="s">
        <v>158</v>
      </c>
      <c r="M65" s="16"/>
      <c r="N65" s="17" t="str">
        <f aca="false">IF(M65="","",K65*M65)</f>
        <v/>
      </c>
    </row>
    <row r="66" customFormat="false" ht="15" hidden="false" customHeight="false" outlineLevel="0" collapsed="false">
      <c r="A66" s="7" t="n">
        <v>57</v>
      </c>
      <c r="B66" s="8" t="s">
        <v>159</v>
      </c>
      <c r="C66" s="7" t="s">
        <v>26</v>
      </c>
      <c r="D66" s="18" t="n">
        <v>1</v>
      </c>
      <c r="E66" s="10" t="s">
        <v>32</v>
      </c>
      <c r="F66" s="11" t="n">
        <v>1</v>
      </c>
      <c r="G66" s="12" t="n">
        <v>0</v>
      </c>
      <c r="H66" s="13" t="n">
        <f aca="false">D66*F66*(1+G66)</f>
        <v>1</v>
      </c>
      <c r="I66" s="11" t="n">
        <v>1</v>
      </c>
      <c r="J66" s="7" t="s">
        <v>26</v>
      </c>
      <c r="K66" s="14" t="n">
        <f aca="false">ROUNDUP(H66/I66,0)</f>
        <v>1</v>
      </c>
      <c r="L66" s="15" t="s">
        <v>160</v>
      </c>
      <c r="M66" s="16"/>
      <c r="N66" s="17" t="str">
        <f aca="false">IF(M66="","",K66*M66)</f>
        <v/>
      </c>
    </row>
    <row r="67" customFormat="false" ht="15" hidden="false" customHeight="false" outlineLevel="0" collapsed="false">
      <c r="A67" s="7" t="n">
        <v>58</v>
      </c>
      <c r="B67" s="8" t="s">
        <v>161</v>
      </c>
      <c r="C67" s="7" t="s">
        <v>26</v>
      </c>
      <c r="D67" s="18" t="n">
        <v>3</v>
      </c>
      <c r="E67" s="10" t="s">
        <v>32</v>
      </c>
      <c r="F67" s="11" t="n">
        <v>1</v>
      </c>
      <c r="G67" s="12" t="n">
        <v>0</v>
      </c>
      <c r="H67" s="13" t="n">
        <f aca="false">D67*F67*(1+G67)</f>
        <v>3</v>
      </c>
      <c r="I67" s="11" t="n">
        <v>1</v>
      </c>
      <c r="J67" s="7" t="s">
        <v>98</v>
      </c>
      <c r="K67" s="14" t="n">
        <f aca="false">ROUNDUP(H67/I67,0)</f>
        <v>3</v>
      </c>
      <c r="L67" s="15"/>
      <c r="M67" s="16"/>
      <c r="N67" s="17" t="str">
        <f aca="false">IF(M67="","",K67*M67)</f>
        <v/>
      </c>
    </row>
    <row r="68" customFormat="false" ht="15" hidden="false" customHeight="false" outlineLevel="0" collapsed="false">
      <c r="A68" s="4"/>
      <c r="B68" s="5" t="s">
        <v>162</v>
      </c>
      <c r="C68" s="4"/>
      <c r="D68" s="4"/>
      <c r="E68" s="4"/>
      <c r="F68" s="4"/>
      <c r="G68" s="4"/>
      <c r="H68" s="4"/>
      <c r="I68" s="4"/>
      <c r="J68" s="4"/>
      <c r="K68" s="4"/>
      <c r="L68" s="6" t="s">
        <v>163</v>
      </c>
      <c r="M68" s="4"/>
      <c r="N68" s="4"/>
    </row>
    <row r="69" customFormat="false" ht="15" hidden="false" customHeight="false" outlineLevel="0" collapsed="false">
      <c r="A69" s="7" t="n">
        <v>59</v>
      </c>
      <c r="B69" s="8" t="s">
        <v>164</v>
      </c>
      <c r="C69" s="7" t="s">
        <v>19</v>
      </c>
      <c r="D69" s="9" t="n">
        <f aca="false">Объёмы!C20</f>
        <v>54.51</v>
      </c>
      <c r="E69" s="10" t="s">
        <v>165</v>
      </c>
      <c r="F69" s="11" t="n">
        <v>1</v>
      </c>
      <c r="G69" s="12" t="n">
        <v>0</v>
      </c>
      <c r="H69" s="13" t="n">
        <f aca="false">D69*F69*(1+G69)</f>
        <v>54.51</v>
      </c>
      <c r="I69" s="11" t="n">
        <v>1</v>
      </c>
      <c r="J69" s="7" t="s">
        <v>19</v>
      </c>
      <c r="K69" s="14" t="n">
        <f aca="false">ROUNDUP(H69/I69,0)</f>
        <v>55</v>
      </c>
      <c r="L69" s="15"/>
      <c r="M69" s="16"/>
      <c r="N69" s="17" t="str">
        <f aca="false">IF(M69="","",K69*M69)</f>
        <v/>
      </c>
    </row>
    <row r="70" customFormat="false" ht="15" hidden="false" customHeight="false" outlineLevel="0" collapsed="false">
      <c r="A70" s="7" t="n">
        <v>60</v>
      </c>
      <c r="B70" s="8" t="s">
        <v>166</v>
      </c>
      <c r="C70" s="7" t="s">
        <v>24</v>
      </c>
      <c r="D70" s="9" t="n">
        <f aca="false">Объёмы!C19</f>
        <v>59.2</v>
      </c>
      <c r="E70" s="10" t="s">
        <v>106</v>
      </c>
      <c r="F70" s="11" t="n">
        <v>1</v>
      </c>
      <c r="G70" s="12" t="n">
        <v>0.05</v>
      </c>
      <c r="H70" s="13" t="n">
        <f aca="false">D70*F70*(1+G70)</f>
        <v>62.16</v>
      </c>
      <c r="I70" s="11" t="n">
        <v>2.5</v>
      </c>
      <c r="J70" s="7" t="s">
        <v>26</v>
      </c>
      <c r="K70" s="14" t="n">
        <f aca="false">ROUNDUP(H70/I70,0)</f>
        <v>25</v>
      </c>
      <c r="L70" s="15"/>
      <c r="M70" s="16"/>
      <c r="N70" s="17" t="str">
        <f aca="false">IF(M70="","",K70*M70)</f>
        <v/>
      </c>
    </row>
    <row r="71" customFormat="false" ht="22.35" hidden="false" customHeight="false" outlineLevel="0" collapsed="false">
      <c r="A71" s="7" t="n">
        <v>61</v>
      </c>
      <c r="B71" s="8" t="s">
        <v>167</v>
      </c>
      <c r="C71" s="7" t="s">
        <v>26</v>
      </c>
      <c r="D71" s="9" t="n">
        <f aca="false">Объёмы!C53</f>
        <v>18</v>
      </c>
      <c r="E71" s="10" t="s">
        <v>168</v>
      </c>
      <c r="F71" s="11" t="n">
        <v>1</v>
      </c>
      <c r="G71" s="12" t="n">
        <v>0</v>
      </c>
      <c r="H71" s="13" t="n">
        <f aca="false">D71*F71*(1+G71)</f>
        <v>18</v>
      </c>
      <c r="I71" s="11" t="n">
        <v>1</v>
      </c>
      <c r="J71" s="7" t="s">
        <v>26</v>
      </c>
      <c r="K71" s="14" t="n">
        <f aca="false">ROUNDUP(H71/I71,0)</f>
        <v>18</v>
      </c>
      <c r="L71" s="15"/>
      <c r="M71" s="16"/>
      <c r="N71" s="17" t="str">
        <f aca="false">IF(M71="","",K71*M71)</f>
        <v/>
      </c>
    </row>
    <row r="72" customFormat="false" ht="15" hidden="false" customHeight="false" outlineLevel="0" collapsed="false">
      <c r="A72" s="7" t="n">
        <v>62</v>
      </c>
      <c r="B72" s="8" t="s">
        <v>169</v>
      </c>
      <c r="C72" s="7" t="s">
        <v>24</v>
      </c>
      <c r="D72" s="18" t="n">
        <v>6.9</v>
      </c>
      <c r="E72" s="10" t="s">
        <v>32</v>
      </c>
      <c r="F72" s="11" t="n">
        <v>1</v>
      </c>
      <c r="G72" s="12" t="n">
        <v>0.1</v>
      </c>
      <c r="H72" s="13" t="n">
        <f aca="false">D72*F72*(1+G72)</f>
        <v>7.59</v>
      </c>
      <c r="I72" s="11" t="n">
        <v>3</v>
      </c>
      <c r="J72" s="7" t="s">
        <v>26</v>
      </c>
      <c r="K72" s="14" t="n">
        <f aca="false">ROUNDUP(H72/I72,0)</f>
        <v>3</v>
      </c>
      <c r="L72" s="15"/>
      <c r="M72" s="16"/>
      <c r="N72" s="17" t="str">
        <f aca="false">IF(M72="","",K72*M72)</f>
        <v/>
      </c>
    </row>
    <row r="73" customFormat="false" ht="15" hidden="false" customHeight="false" outlineLevel="0" collapsed="false">
      <c r="A73" s="7" t="n">
        <v>63</v>
      </c>
      <c r="B73" s="8" t="s">
        <v>170</v>
      </c>
      <c r="C73" s="7" t="s">
        <v>26</v>
      </c>
      <c r="D73" s="18" t="n">
        <v>2</v>
      </c>
      <c r="E73" s="10" t="s">
        <v>32</v>
      </c>
      <c r="F73" s="11" t="n">
        <v>1</v>
      </c>
      <c r="G73" s="12" t="n">
        <v>0</v>
      </c>
      <c r="H73" s="13" t="n">
        <f aca="false">D73*F73*(1+G73)</f>
        <v>2</v>
      </c>
      <c r="I73" s="11" t="n">
        <v>1</v>
      </c>
      <c r="J73" s="7" t="s">
        <v>26</v>
      </c>
      <c r="K73" s="14" t="n">
        <f aca="false">ROUNDUP(H73/I73,0)</f>
        <v>2</v>
      </c>
      <c r="L73" s="15" t="s">
        <v>171</v>
      </c>
      <c r="M73" s="16"/>
      <c r="N73" s="17" t="str">
        <f aca="false">IF(M73="","",K73*M73)</f>
        <v/>
      </c>
    </row>
    <row r="74" customFormat="false" ht="15" hidden="false" customHeight="false" outlineLevel="0" collapsed="false">
      <c r="A74" s="4"/>
      <c r="B74" s="5" t="s">
        <v>172</v>
      </c>
      <c r="C74" s="4"/>
      <c r="D74" s="4"/>
      <c r="E74" s="4"/>
      <c r="F74" s="4"/>
      <c r="G74" s="4"/>
      <c r="H74" s="4"/>
      <c r="I74" s="4"/>
      <c r="J74" s="4"/>
      <c r="K74" s="4"/>
      <c r="L74" s="6" t="s">
        <v>173</v>
      </c>
      <c r="M74" s="4"/>
      <c r="N74" s="4"/>
    </row>
    <row r="75" customFormat="false" ht="22.35" hidden="false" customHeight="false" outlineLevel="0" collapsed="false">
      <c r="A75" s="7" t="n">
        <v>64</v>
      </c>
      <c r="B75" s="8" t="s">
        <v>174</v>
      </c>
      <c r="C75" s="7" t="s">
        <v>24</v>
      </c>
      <c r="D75" s="9" t="n">
        <f aca="false">Объёмы!C39</f>
        <v>87.61</v>
      </c>
      <c r="E75" s="10" t="s">
        <v>175</v>
      </c>
      <c r="F75" s="11" t="n">
        <v>1</v>
      </c>
      <c r="G75" s="12" t="n">
        <v>0.15</v>
      </c>
      <c r="H75" s="13" t="n">
        <f aca="false">D75*F75*(1+G75)</f>
        <v>100.7515</v>
      </c>
      <c r="I75" s="11" t="n">
        <v>100</v>
      </c>
      <c r="J75" s="7" t="s">
        <v>176</v>
      </c>
      <c r="K75" s="14" t="n">
        <f aca="false">ROUNDUP(H75/I75,0)</f>
        <v>2</v>
      </c>
      <c r="L75" s="15"/>
      <c r="M75" s="16"/>
      <c r="N75" s="17" t="str">
        <f aca="false">IF(M75="","",K75*M75)</f>
        <v/>
      </c>
    </row>
    <row r="76" customFormat="false" ht="22.35" hidden="false" customHeight="false" outlineLevel="0" collapsed="false">
      <c r="A76" s="7" t="n">
        <v>65</v>
      </c>
      <c r="B76" s="8" t="s">
        <v>177</v>
      </c>
      <c r="C76" s="7" t="s">
        <v>24</v>
      </c>
      <c r="D76" s="9" t="n">
        <f aca="false">Объёмы!C40</f>
        <v>170.47</v>
      </c>
      <c r="E76" s="10" t="s">
        <v>178</v>
      </c>
      <c r="F76" s="11" t="n">
        <v>1</v>
      </c>
      <c r="G76" s="12" t="n">
        <v>0.15</v>
      </c>
      <c r="H76" s="13" t="n">
        <f aca="false">D76*F76*(1+G76)</f>
        <v>196.0405</v>
      </c>
      <c r="I76" s="11" t="n">
        <v>100</v>
      </c>
      <c r="J76" s="7" t="s">
        <v>176</v>
      </c>
      <c r="K76" s="14" t="n">
        <f aca="false">ROUNDUP(H76/I76,0)</f>
        <v>2</v>
      </c>
      <c r="L76" s="15"/>
      <c r="M76" s="16"/>
      <c r="N76" s="17" t="str">
        <f aca="false">IF(M76="","",K76*M76)</f>
        <v/>
      </c>
    </row>
    <row r="77" customFormat="false" ht="15" hidden="false" customHeight="false" outlineLevel="0" collapsed="false">
      <c r="A77" s="7" t="n">
        <v>66</v>
      </c>
      <c r="B77" s="8" t="s">
        <v>179</v>
      </c>
      <c r="C77" s="7" t="s">
        <v>24</v>
      </c>
      <c r="D77" s="9" t="n">
        <f aca="false">Объёмы!C41</f>
        <v>11.65</v>
      </c>
      <c r="E77" s="10" t="s">
        <v>180</v>
      </c>
      <c r="F77" s="11" t="n">
        <v>1</v>
      </c>
      <c r="G77" s="12" t="n">
        <v>0.15</v>
      </c>
      <c r="H77" s="13" t="n">
        <f aca="false">D77*F77*(1+G77)</f>
        <v>13.3975</v>
      </c>
      <c r="I77" s="11" t="n">
        <v>1</v>
      </c>
      <c r="J77" s="7" t="s">
        <v>24</v>
      </c>
      <c r="K77" s="14" t="n">
        <f aca="false">ROUNDUP(H77/I77,0)</f>
        <v>14</v>
      </c>
      <c r="L77" s="15"/>
      <c r="M77" s="16"/>
      <c r="N77" s="17" t="str">
        <f aca="false">IF(M77="","",K77*M77)</f>
        <v/>
      </c>
    </row>
    <row r="78" customFormat="false" ht="22.35" hidden="false" customHeight="false" outlineLevel="0" collapsed="false">
      <c r="A78" s="7" t="n">
        <v>67</v>
      </c>
      <c r="B78" s="8" t="s">
        <v>181</v>
      </c>
      <c r="C78" s="7" t="s">
        <v>24</v>
      </c>
      <c r="D78" s="9" t="n">
        <f aca="false">Объёмы!C42</f>
        <v>22.55</v>
      </c>
      <c r="E78" s="10" t="s">
        <v>182</v>
      </c>
      <c r="F78" s="11" t="n">
        <v>1</v>
      </c>
      <c r="G78" s="12" t="n">
        <v>0.15</v>
      </c>
      <c r="H78" s="13" t="n">
        <f aca="false">D78*F78*(1+G78)</f>
        <v>25.9325</v>
      </c>
      <c r="I78" s="11" t="n">
        <v>1</v>
      </c>
      <c r="J78" s="7" t="s">
        <v>24</v>
      </c>
      <c r="K78" s="14" t="n">
        <f aca="false">ROUNDUP(H78/I78,0)</f>
        <v>26</v>
      </c>
      <c r="L78" s="15"/>
      <c r="M78" s="16"/>
      <c r="N78" s="17" t="str">
        <f aca="false">IF(M78="","",K78*M78)</f>
        <v/>
      </c>
    </row>
    <row r="79" customFormat="false" ht="15" hidden="false" customHeight="false" outlineLevel="0" collapsed="false">
      <c r="A79" s="7" t="n">
        <v>68</v>
      </c>
      <c r="B79" s="8" t="s">
        <v>183</v>
      </c>
      <c r="C79" s="7" t="s">
        <v>24</v>
      </c>
      <c r="D79" s="9" t="n">
        <f aca="false">Объёмы!C43</f>
        <v>22.55</v>
      </c>
      <c r="E79" s="10" t="s">
        <v>184</v>
      </c>
      <c r="F79" s="11" t="n">
        <v>1</v>
      </c>
      <c r="G79" s="12" t="n">
        <v>0.15</v>
      </c>
      <c r="H79" s="13" t="n">
        <f aca="false">D79*F79*(1+G79)</f>
        <v>25.9325</v>
      </c>
      <c r="I79" s="11" t="n">
        <v>1</v>
      </c>
      <c r="J79" s="7" t="s">
        <v>24</v>
      </c>
      <c r="K79" s="14" t="n">
        <f aca="false">ROUNDUP(H79/I79,0)</f>
        <v>26</v>
      </c>
      <c r="L79" s="15"/>
      <c r="M79" s="16"/>
      <c r="N79" s="17" t="str">
        <f aca="false">IF(M79="","",K79*M79)</f>
        <v/>
      </c>
    </row>
    <row r="80" customFormat="false" ht="22.35" hidden="false" customHeight="false" outlineLevel="0" collapsed="false">
      <c r="A80" s="7" t="n">
        <v>69</v>
      </c>
      <c r="B80" s="8" t="s">
        <v>185</v>
      </c>
      <c r="C80" s="7" t="s">
        <v>24</v>
      </c>
      <c r="D80" s="9" t="n">
        <f aca="false">Объёмы!C67</f>
        <v>303.18</v>
      </c>
      <c r="E80" s="10" t="s">
        <v>186</v>
      </c>
      <c r="F80" s="11" t="n">
        <v>1</v>
      </c>
      <c r="G80" s="12" t="n">
        <v>0.1</v>
      </c>
      <c r="H80" s="13" t="n">
        <f aca="false">D80*F80*(1+G80)</f>
        <v>333.498</v>
      </c>
      <c r="I80" s="11" t="n">
        <v>100</v>
      </c>
      <c r="J80" s="7" t="s">
        <v>176</v>
      </c>
      <c r="K80" s="14" t="n">
        <f aca="false">ROUNDUP(H80/I80,0)</f>
        <v>4</v>
      </c>
      <c r="L80" s="15"/>
      <c r="M80" s="16"/>
      <c r="N80" s="17" t="str">
        <f aca="false">IF(M80="","",K80*M80)</f>
        <v/>
      </c>
    </row>
    <row r="81" customFormat="false" ht="15" hidden="false" customHeight="false" outlineLevel="0" collapsed="false">
      <c r="A81" s="7" t="n">
        <v>70</v>
      </c>
      <c r="B81" s="8" t="s">
        <v>187</v>
      </c>
      <c r="C81" s="7" t="s">
        <v>24</v>
      </c>
      <c r="D81" s="9" t="n">
        <f aca="false">Объёмы!C41</f>
        <v>11.65</v>
      </c>
      <c r="E81" s="10" t="s">
        <v>180</v>
      </c>
      <c r="F81" s="11" t="n">
        <v>1</v>
      </c>
      <c r="G81" s="12" t="n">
        <v>0.1</v>
      </c>
      <c r="H81" s="13" t="n">
        <f aca="false">D81*F81*(1+G81)</f>
        <v>12.815</v>
      </c>
      <c r="I81" s="11" t="n">
        <v>1</v>
      </c>
      <c r="J81" s="7" t="s">
        <v>24</v>
      </c>
      <c r="K81" s="14" t="n">
        <f aca="false">ROUNDUP(H81/I81,0)</f>
        <v>13</v>
      </c>
      <c r="L81" s="15"/>
      <c r="M81" s="16"/>
      <c r="N81" s="17" t="str">
        <f aca="false">IF(M81="","",K81*M81)</f>
        <v/>
      </c>
    </row>
    <row r="82" customFormat="false" ht="22.35" hidden="false" customHeight="false" outlineLevel="0" collapsed="false">
      <c r="A82" s="7" t="n">
        <v>71</v>
      </c>
      <c r="B82" s="8" t="s">
        <v>188</v>
      </c>
      <c r="C82" s="7" t="s">
        <v>26</v>
      </c>
      <c r="D82" s="9" t="n">
        <f aca="false">Объёмы!C67</f>
        <v>303.18</v>
      </c>
      <c r="E82" s="10" t="s">
        <v>186</v>
      </c>
      <c r="F82" s="11" t="n">
        <v>2.5</v>
      </c>
      <c r="G82" s="12" t="n">
        <v>0.1</v>
      </c>
      <c r="H82" s="13" t="n">
        <f aca="false">D82*F82*(1+G82)</f>
        <v>833.745</v>
      </c>
      <c r="I82" s="11" t="n">
        <v>100</v>
      </c>
      <c r="J82" s="7" t="s">
        <v>35</v>
      </c>
      <c r="K82" s="14" t="n">
        <f aca="false">ROUNDUP(H82/I82,0)</f>
        <v>9</v>
      </c>
      <c r="L82" s="15" t="s">
        <v>189</v>
      </c>
      <c r="M82" s="16"/>
      <c r="N82" s="17" t="str">
        <f aca="false">IF(M82="","",K82*M82)</f>
        <v/>
      </c>
    </row>
    <row r="83" customFormat="false" ht="22.35" hidden="false" customHeight="false" outlineLevel="0" collapsed="false">
      <c r="A83" s="7" t="n">
        <v>72</v>
      </c>
      <c r="B83" s="8" t="s">
        <v>190</v>
      </c>
      <c r="C83" s="7" t="s">
        <v>26</v>
      </c>
      <c r="D83" s="9" t="n">
        <f aca="false">Объёмы!C67</f>
        <v>303.18</v>
      </c>
      <c r="E83" s="10" t="s">
        <v>186</v>
      </c>
      <c r="F83" s="11" t="n">
        <v>2.5</v>
      </c>
      <c r="G83" s="12" t="n">
        <v>0.1</v>
      </c>
      <c r="H83" s="13" t="n">
        <f aca="false">D83*F83*(1+G83)</f>
        <v>833.745</v>
      </c>
      <c r="I83" s="11" t="n">
        <v>100</v>
      </c>
      <c r="J83" s="7" t="s">
        <v>35</v>
      </c>
      <c r="K83" s="14" t="n">
        <f aca="false">ROUNDUP(H83/I83,0)</f>
        <v>9</v>
      </c>
      <c r="L83" s="15"/>
      <c r="M83" s="16"/>
      <c r="N83" s="17" t="str">
        <f aca="false">IF(M83="","",K83*M83)</f>
        <v/>
      </c>
    </row>
    <row r="84" customFormat="false" ht="15" hidden="false" customHeight="false" outlineLevel="0" collapsed="false">
      <c r="A84" s="7" t="n">
        <v>73</v>
      </c>
      <c r="B84" s="8" t="s">
        <v>191</v>
      </c>
      <c r="C84" s="7" t="s">
        <v>26</v>
      </c>
      <c r="D84" s="9" t="n">
        <f aca="false">Объёмы!C69</f>
        <v>33</v>
      </c>
      <c r="E84" s="10" t="s">
        <v>192</v>
      </c>
      <c r="F84" s="11" t="n">
        <v>1</v>
      </c>
      <c r="G84" s="12" t="n">
        <v>0.1</v>
      </c>
      <c r="H84" s="13" t="n">
        <f aca="false">D84*F84*(1+G84)</f>
        <v>36.3</v>
      </c>
      <c r="I84" s="11" t="n">
        <v>1</v>
      </c>
      <c r="J84" s="7" t="s">
        <v>26</v>
      </c>
      <c r="K84" s="14" t="n">
        <f aca="false">ROUNDUP(H84/I84,0)</f>
        <v>37</v>
      </c>
      <c r="L84" s="15"/>
      <c r="M84" s="16"/>
      <c r="N84" s="17" t="str">
        <f aca="false">IF(M84="","",K84*M84)</f>
        <v/>
      </c>
    </row>
    <row r="85" customFormat="false" ht="15" hidden="false" customHeight="false" outlineLevel="0" collapsed="false">
      <c r="A85" s="7" t="n">
        <v>74</v>
      </c>
      <c r="B85" s="8" t="s">
        <v>193</v>
      </c>
      <c r="C85" s="7" t="s">
        <v>26</v>
      </c>
      <c r="D85" s="9" t="n">
        <f aca="false">Объёмы!C68</f>
        <v>17</v>
      </c>
      <c r="E85" s="10" t="s">
        <v>194</v>
      </c>
      <c r="F85" s="11" t="n">
        <v>1</v>
      </c>
      <c r="G85" s="12" t="n">
        <v>0.1</v>
      </c>
      <c r="H85" s="13" t="n">
        <f aca="false">D85*F85*(1+G85)</f>
        <v>18.7</v>
      </c>
      <c r="I85" s="11" t="n">
        <v>1</v>
      </c>
      <c r="J85" s="7" t="s">
        <v>26</v>
      </c>
      <c r="K85" s="14" t="n">
        <f aca="false">ROUNDUP(H85/I85,0)</f>
        <v>19</v>
      </c>
      <c r="L85" s="15"/>
      <c r="M85" s="16"/>
      <c r="N85" s="17" t="str">
        <f aca="false">IF(M85="","",K85*M85)</f>
        <v/>
      </c>
    </row>
    <row r="86" customFormat="false" ht="22.35" hidden="false" customHeight="false" outlineLevel="0" collapsed="false">
      <c r="A86" s="7" t="n">
        <v>75</v>
      </c>
      <c r="B86" s="8" t="s">
        <v>195</v>
      </c>
      <c r="C86" s="7" t="s">
        <v>26</v>
      </c>
      <c r="D86" s="9" t="n">
        <f aca="false">Объёмы!C46</f>
        <v>10</v>
      </c>
      <c r="E86" s="10" t="s">
        <v>196</v>
      </c>
      <c r="F86" s="11" t="n">
        <v>1</v>
      </c>
      <c r="G86" s="12" t="n">
        <v>0</v>
      </c>
      <c r="H86" s="13" t="n">
        <f aca="false">D86*F86*(1+G86)</f>
        <v>10</v>
      </c>
      <c r="I86" s="11" t="n">
        <v>1</v>
      </c>
      <c r="J86" s="7" t="s">
        <v>26</v>
      </c>
      <c r="K86" s="14" t="n">
        <f aca="false">ROUNDUP(H86/I86,0)</f>
        <v>10</v>
      </c>
      <c r="L86" s="15"/>
      <c r="M86" s="16"/>
      <c r="N86" s="17" t="str">
        <f aca="false">IF(M86="","",K86*M86)</f>
        <v/>
      </c>
    </row>
    <row r="87" customFormat="false" ht="22.35" hidden="false" customHeight="false" outlineLevel="0" collapsed="false">
      <c r="A87" s="7" t="n">
        <v>76</v>
      </c>
      <c r="B87" s="8" t="s">
        <v>197</v>
      </c>
      <c r="C87" s="7" t="s">
        <v>26</v>
      </c>
      <c r="D87" s="9" t="n">
        <f aca="false">Объёмы!C46</f>
        <v>10</v>
      </c>
      <c r="E87" s="10" t="s">
        <v>196</v>
      </c>
      <c r="F87" s="11" t="n">
        <v>8</v>
      </c>
      <c r="G87" s="12" t="n">
        <v>0.1</v>
      </c>
      <c r="H87" s="13" t="n">
        <f aca="false">D87*F87*(1+G87)</f>
        <v>88</v>
      </c>
      <c r="I87" s="11" t="n">
        <v>50</v>
      </c>
      <c r="J87" s="7" t="s">
        <v>35</v>
      </c>
      <c r="K87" s="14" t="n">
        <f aca="false">ROUNDUP(H87/I87,0)</f>
        <v>2</v>
      </c>
      <c r="L87" s="15"/>
      <c r="M87" s="16"/>
      <c r="N87" s="17" t="str">
        <f aca="false">IF(M87="","",K87*M87)</f>
        <v/>
      </c>
    </row>
    <row r="88" customFormat="false" ht="22.35" hidden="false" customHeight="false" outlineLevel="0" collapsed="false">
      <c r="A88" s="7" t="n">
        <v>77</v>
      </c>
      <c r="B88" s="8" t="s">
        <v>198</v>
      </c>
      <c r="C88" s="7" t="s">
        <v>48</v>
      </c>
      <c r="D88" s="9" t="n">
        <f aca="false">Объёмы!C45</f>
        <v>71.45</v>
      </c>
      <c r="E88" s="10" t="s">
        <v>199</v>
      </c>
      <c r="F88" s="11" t="n">
        <v>1</v>
      </c>
      <c r="G88" s="12" t="n">
        <v>0.1</v>
      </c>
      <c r="H88" s="13" t="n">
        <f aca="false">D88*F88*(1+G88)</f>
        <v>78.595</v>
      </c>
      <c r="I88" s="11" t="n">
        <v>5</v>
      </c>
      <c r="J88" s="7" t="s">
        <v>49</v>
      </c>
      <c r="K88" s="14" t="n">
        <f aca="false">ROUNDUP(H88/I88,0)</f>
        <v>16</v>
      </c>
      <c r="L88" s="15"/>
      <c r="M88" s="16"/>
      <c r="N88" s="17" t="str">
        <f aca="false">IF(M88="","",K88*M88)</f>
        <v/>
      </c>
    </row>
    <row r="89" customFormat="false" ht="15" hidden="false" customHeight="false" outlineLevel="0" collapsed="false">
      <c r="A89" s="7" t="n">
        <v>78</v>
      </c>
      <c r="B89" s="8" t="s">
        <v>200</v>
      </c>
      <c r="C89" s="7" t="s">
        <v>26</v>
      </c>
      <c r="D89" s="18" t="n">
        <v>200</v>
      </c>
      <c r="E89" s="10" t="s">
        <v>32</v>
      </c>
      <c r="F89" s="11" t="n">
        <v>1</v>
      </c>
      <c r="G89" s="12" t="n">
        <v>0</v>
      </c>
      <c r="H89" s="13" t="n">
        <f aca="false">D89*F89*(1+G89)</f>
        <v>200</v>
      </c>
      <c r="I89" s="11" t="n">
        <v>100</v>
      </c>
      <c r="J89" s="7" t="s">
        <v>35</v>
      </c>
      <c r="K89" s="14" t="n">
        <f aca="false">ROUNDUP(H89/I89,0)</f>
        <v>2</v>
      </c>
      <c r="L89" s="15"/>
      <c r="M89" s="16"/>
      <c r="N89" s="17" t="str">
        <f aca="false">IF(M89="","",K89*M89)</f>
        <v/>
      </c>
    </row>
    <row r="90" customFormat="false" ht="15" hidden="false" customHeight="false" outlineLevel="0" collapsed="false">
      <c r="A90" s="7" t="n">
        <v>79</v>
      </c>
      <c r="B90" s="8" t="s">
        <v>201</v>
      </c>
      <c r="C90" s="7" t="s">
        <v>26</v>
      </c>
      <c r="D90" s="18" t="n">
        <v>3</v>
      </c>
      <c r="E90" s="10" t="s">
        <v>32</v>
      </c>
      <c r="F90" s="11" t="n">
        <v>1</v>
      </c>
      <c r="G90" s="12" t="n">
        <v>0</v>
      </c>
      <c r="H90" s="13" t="n">
        <f aca="false">D90*F90*(1+G90)</f>
        <v>3</v>
      </c>
      <c r="I90" s="11" t="n">
        <v>1</v>
      </c>
      <c r="J90" s="7" t="s">
        <v>26</v>
      </c>
      <c r="K90" s="14" t="n">
        <f aca="false">ROUNDUP(H90/I90,0)</f>
        <v>3</v>
      </c>
      <c r="L90" s="15"/>
      <c r="M90" s="16"/>
      <c r="N90" s="17" t="str">
        <f aca="false">IF(M90="","",K90*M90)</f>
        <v/>
      </c>
    </row>
    <row r="91" customFormat="false" ht="15" hidden="false" customHeight="false" outlineLevel="0" collapsed="false">
      <c r="A91" s="4"/>
      <c r="B91" s="5" t="s">
        <v>202</v>
      </c>
      <c r="C91" s="4"/>
      <c r="D91" s="4"/>
      <c r="E91" s="4"/>
      <c r="F91" s="4"/>
      <c r="G91" s="4"/>
      <c r="H91" s="4"/>
      <c r="I91" s="4"/>
      <c r="J91" s="4"/>
      <c r="K91" s="4"/>
      <c r="L91" s="6" t="s">
        <v>203</v>
      </c>
      <c r="M91" s="4"/>
      <c r="N91" s="4"/>
    </row>
    <row r="92" customFormat="false" ht="15" hidden="false" customHeight="false" outlineLevel="0" collapsed="false">
      <c r="A92" s="7" t="n">
        <v>80</v>
      </c>
      <c r="B92" s="8" t="s">
        <v>204</v>
      </c>
      <c r="C92" s="7" t="s">
        <v>26</v>
      </c>
      <c r="D92" s="18" t="n">
        <v>1</v>
      </c>
      <c r="E92" s="10" t="s">
        <v>32</v>
      </c>
      <c r="F92" s="11" t="n">
        <v>1</v>
      </c>
      <c r="G92" s="12" t="n">
        <v>0</v>
      </c>
      <c r="H92" s="13" t="n">
        <f aca="false">D92*F92*(1+G92)</f>
        <v>1</v>
      </c>
      <c r="I92" s="11" t="n">
        <v>1</v>
      </c>
      <c r="J92" s="7" t="s">
        <v>26</v>
      </c>
      <c r="K92" s="14" t="n">
        <f aca="false">ROUNDUP(H92/I92,0)</f>
        <v>1</v>
      </c>
      <c r="L92" s="15"/>
      <c r="M92" s="16"/>
      <c r="N92" s="17" t="str">
        <f aca="false">IF(M92="","",K92*M92)</f>
        <v/>
      </c>
    </row>
    <row r="93" customFormat="false" ht="15" hidden="false" customHeight="false" outlineLevel="0" collapsed="false">
      <c r="A93" s="7" t="n">
        <v>81</v>
      </c>
      <c r="B93" s="8" t="s">
        <v>205</v>
      </c>
      <c r="C93" s="7" t="s">
        <v>26</v>
      </c>
      <c r="D93" s="18" t="n">
        <v>1</v>
      </c>
      <c r="E93" s="10" t="s">
        <v>32</v>
      </c>
      <c r="F93" s="11" t="n">
        <v>1</v>
      </c>
      <c r="G93" s="12" t="n">
        <v>0</v>
      </c>
      <c r="H93" s="13" t="n">
        <f aca="false">D93*F93*(1+G93)</f>
        <v>1</v>
      </c>
      <c r="I93" s="11" t="n">
        <v>1</v>
      </c>
      <c r="J93" s="7" t="s">
        <v>26</v>
      </c>
      <c r="K93" s="14" t="n">
        <f aca="false">ROUNDUP(H93/I93,0)</f>
        <v>1</v>
      </c>
      <c r="L93" s="15"/>
      <c r="M93" s="16"/>
      <c r="N93" s="17" t="str">
        <f aca="false">IF(M93="","",K93*M93)</f>
        <v/>
      </c>
    </row>
    <row r="94" customFormat="false" ht="15" hidden="false" customHeight="false" outlineLevel="0" collapsed="false">
      <c r="A94" s="7" t="n">
        <v>82</v>
      </c>
      <c r="B94" s="8" t="s">
        <v>206</v>
      </c>
      <c r="C94" s="7" t="s">
        <v>26</v>
      </c>
      <c r="D94" s="18" t="n">
        <v>1</v>
      </c>
      <c r="E94" s="10" t="s">
        <v>32</v>
      </c>
      <c r="F94" s="11" t="n">
        <v>1</v>
      </c>
      <c r="G94" s="12" t="n">
        <v>0</v>
      </c>
      <c r="H94" s="13" t="n">
        <f aca="false">D94*F94*(1+G94)</f>
        <v>1</v>
      </c>
      <c r="I94" s="11" t="n">
        <v>1</v>
      </c>
      <c r="J94" s="7" t="s">
        <v>26</v>
      </c>
      <c r="K94" s="14" t="n">
        <f aca="false">ROUNDUP(H94/I94,0)</f>
        <v>1</v>
      </c>
      <c r="L94" s="15"/>
      <c r="M94" s="16"/>
      <c r="N94" s="17" t="str">
        <f aca="false">IF(M94="","",K94*M94)</f>
        <v/>
      </c>
    </row>
    <row r="95" customFormat="false" ht="15" hidden="false" customHeight="false" outlineLevel="0" collapsed="false">
      <c r="A95" s="7" t="n">
        <v>83</v>
      </c>
      <c r="B95" s="8" t="s">
        <v>207</v>
      </c>
      <c r="C95" s="7" t="s">
        <v>26</v>
      </c>
      <c r="D95" s="18" t="n">
        <v>2</v>
      </c>
      <c r="E95" s="10" t="s">
        <v>32</v>
      </c>
      <c r="F95" s="11" t="n">
        <v>1</v>
      </c>
      <c r="G95" s="12" t="n">
        <v>0</v>
      </c>
      <c r="H95" s="13" t="n">
        <f aca="false">D95*F95*(1+G95)</f>
        <v>2</v>
      </c>
      <c r="I95" s="11" t="n">
        <v>1</v>
      </c>
      <c r="J95" s="7" t="s">
        <v>26</v>
      </c>
      <c r="K95" s="14" t="n">
        <f aca="false">ROUNDUP(H95/I95,0)</f>
        <v>2</v>
      </c>
      <c r="L95" s="15"/>
      <c r="M95" s="16"/>
      <c r="N95" s="17" t="str">
        <f aca="false">IF(M95="","",K95*M95)</f>
        <v/>
      </c>
    </row>
    <row r="96" customFormat="false" ht="15" hidden="false" customHeight="false" outlineLevel="0" collapsed="false">
      <c r="A96" s="7" t="n">
        <v>84</v>
      </c>
      <c r="B96" s="8" t="s">
        <v>208</v>
      </c>
      <c r="C96" s="7" t="s">
        <v>26</v>
      </c>
      <c r="D96" s="18" t="n">
        <v>5</v>
      </c>
      <c r="E96" s="10" t="s">
        <v>32</v>
      </c>
      <c r="F96" s="11" t="n">
        <v>1</v>
      </c>
      <c r="G96" s="12" t="n">
        <v>0</v>
      </c>
      <c r="H96" s="13" t="n">
        <f aca="false">D96*F96*(1+G96)</f>
        <v>5</v>
      </c>
      <c r="I96" s="11" t="n">
        <v>1</v>
      </c>
      <c r="J96" s="7" t="s">
        <v>26</v>
      </c>
      <c r="K96" s="14" t="n">
        <f aca="false">ROUNDUP(H96/I96,0)</f>
        <v>5</v>
      </c>
      <c r="L96" s="15"/>
      <c r="M96" s="16"/>
      <c r="N96" s="17" t="str">
        <f aca="false">IF(M96="","",K96*M96)</f>
        <v/>
      </c>
    </row>
    <row r="97" customFormat="false" ht="15" hidden="false" customHeight="false" outlineLevel="0" collapsed="false">
      <c r="A97" s="7" t="n">
        <v>85</v>
      </c>
      <c r="B97" s="8" t="s">
        <v>209</v>
      </c>
      <c r="C97" s="7" t="s">
        <v>26</v>
      </c>
      <c r="D97" s="18" t="n">
        <v>1</v>
      </c>
      <c r="E97" s="10" t="s">
        <v>32</v>
      </c>
      <c r="F97" s="11" t="n">
        <v>1</v>
      </c>
      <c r="G97" s="12" t="n">
        <v>0</v>
      </c>
      <c r="H97" s="13" t="n">
        <f aca="false">D97*F97*(1+G97)</f>
        <v>1</v>
      </c>
      <c r="I97" s="11" t="n">
        <v>1</v>
      </c>
      <c r="J97" s="7" t="s">
        <v>26</v>
      </c>
      <c r="K97" s="14" t="n">
        <f aca="false">ROUNDUP(H97/I97,0)</f>
        <v>1</v>
      </c>
      <c r="L97" s="15"/>
      <c r="M97" s="16"/>
      <c r="N97" s="17" t="str">
        <f aca="false">IF(M97="","",K97*M97)</f>
        <v/>
      </c>
    </row>
    <row r="98" customFormat="false" ht="15" hidden="false" customHeight="false" outlineLevel="0" collapsed="false">
      <c r="A98" s="7" t="n">
        <v>86</v>
      </c>
      <c r="B98" s="8" t="s">
        <v>210</v>
      </c>
      <c r="C98" s="7" t="s">
        <v>26</v>
      </c>
      <c r="D98" s="18" t="n">
        <v>2</v>
      </c>
      <c r="E98" s="10" t="s">
        <v>32</v>
      </c>
      <c r="F98" s="11" t="n">
        <v>1</v>
      </c>
      <c r="G98" s="12" t="n">
        <v>0</v>
      </c>
      <c r="H98" s="13" t="n">
        <f aca="false">D98*F98*(1+G98)</f>
        <v>2</v>
      </c>
      <c r="I98" s="11" t="n">
        <v>1</v>
      </c>
      <c r="J98" s="7" t="s">
        <v>26</v>
      </c>
      <c r="K98" s="14" t="n">
        <f aca="false">ROUNDUP(H98/I98,0)</f>
        <v>2</v>
      </c>
      <c r="L98" s="15"/>
      <c r="M98" s="16"/>
      <c r="N98" s="17" t="str">
        <f aca="false">IF(M98="","",K98*M98)</f>
        <v/>
      </c>
    </row>
    <row r="99" customFormat="false" ht="15" hidden="false" customHeight="false" outlineLevel="0" collapsed="false">
      <c r="A99" s="7" t="n">
        <v>87</v>
      </c>
      <c r="B99" s="8" t="s">
        <v>211</v>
      </c>
      <c r="C99" s="7" t="s">
        <v>26</v>
      </c>
      <c r="D99" s="18" t="n">
        <v>1</v>
      </c>
      <c r="E99" s="10" t="s">
        <v>32</v>
      </c>
      <c r="F99" s="11" t="n">
        <v>1</v>
      </c>
      <c r="G99" s="12" t="n">
        <v>0</v>
      </c>
      <c r="H99" s="13" t="n">
        <f aca="false">D99*F99*(1+G99)</f>
        <v>1</v>
      </c>
      <c r="I99" s="11" t="n">
        <v>1</v>
      </c>
      <c r="J99" s="7" t="s">
        <v>26</v>
      </c>
      <c r="K99" s="14" t="n">
        <f aca="false">ROUNDUP(H99/I99,0)</f>
        <v>1</v>
      </c>
      <c r="L99" s="15"/>
      <c r="M99" s="16"/>
      <c r="N99" s="17" t="str">
        <f aca="false">IF(M99="","",K99*M99)</f>
        <v/>
      </c>
    </row>
    <row r="100" customFormat="false" ht="15" hidden="false" customHeight="false" outlineLevel="0" collapsed="false">
      <c r="A100" s="7" t="n">
        <v>88</v>
      </c>
      <c r="B100" s="8" t="s">
        <v>212</v>
      </c>
      <c r="C100" s="7" t="s">
        <v>26</v>
      </c>
      <c r="D100" s="18" t="n">
        <v>2</v>
      </c>
      <c r="E100" s="10" t="s">
        <v>32</v>
      </c>
      <c r="F100" s="11" t="n">
        <v>1</v>
      </c>
      <c r="G100" s="12" t="n">
        <v>0</v>
      </c>
      <c r="H100" s="13" t="n">
        <f aca="false">D100*F100*(1+G100)</f>
        <v>2</v>
      </c>
      <c r="I100" s="11" t="n">
        <v>1</v>
      </c>
      <c r="J100" s="7" t="s">
        <v>26</v>
      </c>
      <c r="K100" s="14" t="n">
        <f aca="false">ROUNDUP(H100/I100,0)</f>
        <v>2</v>
      </c>
      <c r="L100" s="15"/>
      <c r="M100" s="16"/>
      <c r="N100" s="17" t="str">
        <f aca="false">IF(M100="","",K100*M100)</f>
        <v/>
      </c>
    </row>
    <row r="101" customFormat="false" ht="15" hidden="false" customHeight="false" outlineLevel="0" collapsed="false">
      <c r="A101" s="7" t="n">
        <v>89</v>
      </c>
      <c r="B101" s="8" t="s">
        <v>213</v>
      </c>
      <c r="C101" s="7" t="s">
        <v>26</v>
      </c>
      <c r="D101" s="18" t="n">
        <v>1</v>
      </c>
      <c r="E101" s="10" t="s">
        <v>32</v>
      </c>
      <c r="F101" s="11" t="n">
        <v>1</v>
      </c>
      <c r="G101" s="12" t="n">
        <v>0</v>
      </c>
      <c r="H101" s="13" t="n">
        <f aca="false">D101*F101*(1+G101)</f>
        <v>1</v>
      </c>
      <c r="I101" s="11" t="n">
        <v>1</v>
      </c>
      <c r="J101" s="7" t="s">
        <v>26</v>
      </c>
      <c r="K101" s="14" t="n">
        <f aca="false">ROUNDUP(H101/I101,0)</f>
        <v>1</v>
      </c>
      <c r="L101" s="15"/>
      <c r="M101" s="16"/>
      <c r="N101" s="17" t="str">
        <f aca="false">IF(M101="","",K101*M101)</f>
        <v/>
      </c>
    </row>
    <row r="102" customFormat="false" ht="15" hidden="false" customHeight="false" outlineLevel="0" collapsed="false">
      <c r="A102" s="7" t="n">
        <v>90</v>
      </c>
      <c r="B102" s="8" t="s">
        <v>214</v>
      </c>
      <c r="C102" s="7" t="s">
        <v>26</v>
      </c>
      <c r="D102" s="18" t="n">
        <v>1</v>
      </c>
      <c r="E102" s="10" t="s">
        <v>32</v>
      </c>
      <c r="F102" s="11" t="n">
        <v>1</v>
      </c>
      <c r="G102" s="12" t="n">
        <v>0</v>
      </c>
      <c r="H102" s="13" t="n">
        <f aca="false">D102*F102*(1+G102)</f>
        <v>1</v>
      </c>
      <c r="I102" s="11" t="n">
        <v>1</v>
      </c>
      <c r="J102" s="7" t="s">
        <v>26</v>
      </c>
      <c r="K102" s="14" t="n">
        <f aca="false">ROUNDUP(H102/I102,0)</f>
        <v>1</v>
      </c>
      <c r="L102" s="15" t="s">
        <v>215</v>
      </c>
      <c r="M102" s="16"/>
      <c r="N102" s="17" t="str">
        <f aca="false">IF(M102="","",K102*M102)</f>
        <v/>
      </c>
    </row>
    <row r="103" customFormat="false" ht="15" hidden="false" customHeight="false" outlineLevel="0" collapsed="false">
      <c r="A103" s="4"/>
      <c r="B103" s="5" t="s">
        <v>216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customFormat="false" ht="15" hidden="false" customHeight="false" outlineLevel="0" collapsed="false">
      <c r="A104" s="7" t="n">
        <v>91</v>
      </c>
      <c r="B104" s="8" t="s">
        <v>217</v>
      </c>
      <c r="C104" s="7" t="s">
        <v>26</v>
      </c>
      <c r="D104" s="9" t="n">
        <f aca="false">Объёмы!C28</f>
        <v>32</v>
      </c>
      <c r="E104" s="10" t="s">
        <v>218</v>
      </c>
      <c r="F104" s="11" t="n">
        <v>1</v>
      </c>
      <c r="G104" s="12" t="n">
        <v>0</v>
      </c>
      <c r="H104" s="13" t="n">
        <f aca="false">D104*F104*(1+G104)</f>
        <v>32</v>
      </c>
      <c r="I104" s="11" t="n">
        <v>1</v>
      </c>
      <c r="J104" s="7" t="s">
        <v>26</v>
      </c>
      <c r="K104" s="14" t="n">
        <f aca="false">ROUNDUP(H104/I104,0)</f>
        <v>32</v>
      </c>
      <c r="L104" s="15" t="s">
        <v>219</v>
      </c>
      <c r="M104" s="16"/>
      <c r="N104" s="17" t="str">
        <f aca="false">IF(M104="","",K104*M104)</f>
        <v/>
      </c>
    </row>
    <row r="105" customFormat="false" ht="15" hidden="false" customHeight="false" outlineLevel="0" collapsed="false">
      <c r="A105" s="7" t="n">
        <v>92</v>
      </c>
      <c r="B105" s="8" t="s">
        <v>220</v>
      </c>
      <c r="C105" s="7" t="s">
        <v>26</v>
      </c>
      <c r="D105" s="9" t="n">
        <f aca="false">Объёмы!C29</f>
        <v>2</v>
      </c>
      <c r="E105" s="10" t="s">
        <v>221</v>
      </c>
      <c r="F105" s="11" t="n">
        <v>1</v>
      </c>
      <c r="G105" s="12" t="n">
        <v>0</v>
      </c>
      <c r="H105" s="13" t="n">
        <f aca="false">D105*F105*(1+G105)</f>
        <v>2</v>
      </c>
      <c r="I105" s="11" t="n">
        <v>1</v>
      </c>
      <c r="J105" s="7" t="s">
        <v>26</v>
      </c>
      <c r="K105" s="14" t="n">
        <f aca="false">ROUNDUP(H105/I105,0)</f>
        <v>2</v>
      </c>
      <c r="L105" s="15" t="s">
        <v>222</v>
      </c>
      <c r="M105" s="16"/>
      <c r="N105" s="17" t="str">
        <f aca="false">IF(M105="","",K105*M105)</f>
        <v/>
      </c>
    </row>
    <row r="106" customFormat="false" ht="22.35" hidden="false" customHeight="false" outlineLevel="0" collapsed="false">
      <c r="A106" s="7" t="n">
        <v>93</v>
      </c>
      <c r="B106" s="8" t="s">
        <v>223</v>
      </c>
      <c r="C106" s="7" t="s">
        <v>26</v>
      </c>
      <c r="D106" s="18" t="n">
        <v>21</v>
      </c>
      <c r="E106" s="10" t="s">
        <v>32</v>
      </c>
      <c r="F106" s="11" t="n">
        <v>1</v>
      </c>
      <c r="G106" s="12" t="n">
        <v>0</v>
      </c>
      <c r="H106" s="13" t="n">
        <f aca="false">D106*F106*(1+G106)</f>
        <v>21</v>
      </c>
      <c r="I106" s="11" t="n">
        <v>1</v>
      </c>
      <c r="J106" s="7" t="s">
        <v>26</v>
      </c>
      <c r="K106" s="14" t="n">
        <f aca="false">ROUNDUP(H106/I106,0)</f>
        <v>21</v>
      </c>
      <c r="L106" s="15" t="s">
        <v>224</v>
      </c>
      <c r="M106" s="16"/>
      <c r="N106" s="17" t="str">
        <f aca="false">IF(M106="","",K106*M106)</f>
        <v/>
      </c>
    </row>
    <row r="107" customFormat="false" ht="15" hidden="false" customHeight="false" outlineLevel="0" collapsed="false">
      <c r="A107" s="7" t="n">
        <v>94</v>
      </c>
      <c r="B107" s="8" t="s">
        <v>225</v>
      </c>
      <c r="C107" s="7" t="s">
        <v>26</v>
      </c>
      <c r="D107" s="18" t="n">
        <v>13</v>
      </c>
      <c r="E107" s="10" t="s">
        <v>32</v>
      </c>
      <c r="F107" s="11" t="n">
        <v>1</v>
      </c>
      <c r="G107" s="12" t="n">
        <v>0</v>
      </c>
      <c r="H107" s="13" t="n">
        <f aca="false">D107*F107*(1+G107)</f>
        <v>13</v>
      </c>
      <c r="I107" s="11" t="n">
        <v>1</v>
      </c>
      <c r="J107" s="7" t="s">
        <v>26</v>
      </c>
      <c r="K107" s="14" t="n">
        <f aca="false">ROUNDUP(H107/I107,0)</f>
        <v>13</v>
      </c>
      <c r="L107" s="15"/>
      <c r="M107" s="16"/>
      <c r="N107" s="17" t="str">
        <f aca="false">IF(M107="","",K107*M107)</f>
        <v/>
      </c>
    </row>
    <row r="108" customFormat="false" ht="15" hidden="false" customHeight="false" outlineLevel="0" collapsed="false">
      <c r="A108" s="7" t="n">
        <v>95</v>
      </c>
      <c r="B108" s="8" t="s">
        <v>226</v>
      </c>
      <c r="C108" s="7" t="s">
        <v>26</v>
      </c>
      <c r="D108" s="9" t="n">
        <f aca="false">Объёмы!C32</f>
        <v>1</v>
      </c>
      <c r="E108" s="10" t="s">
        <v>227</v>
      </c>
      <c r="F108" s="11" t="n">
        <v>1</v>
      </c>
      <c r="G108" s="12" t="n">
        <v>0</v>
      </c>
      <c r="H108" s="13" t="n">
        <f aca="false">D108*F108*(1+G108)</f>
        <v>1</v>
      </c>
      <c r="I108" s="11" t="n">
        <v>1</v>
      </c>
      <c r="J108" s="7" t="s">
        <v>26</v>
      </c>
      <c r="K108" s="14" t="n">
        <f aca="false">ROUNDUP(H108/I108,0)</f>
        <v>1</v>
      </c>
      <c r="L108" s="15"/>
      <c r="M108" s="16"/>
      <c r="N108" s="17" t="str">
        <f aca="false">IF(M108="","",K108*M108)</f>
        <v/>
      </c>
    </row>
    <row r="109" customFormat="false" ht="15" hidden="false" customHeight="false" outlineLevel="0" collapsed="false">
      <c r="A109" s="7" t="n">
        <v>96</v>
      </c>
      <c r="B109" s="8" t="s">
        <v>228</v>
      </c>
      <c r="C109" s="7" t="s">
        <v>26</v>
      </c>
      <c r="D109" s="9" t="n">
        <f aca="false">Объёмы!C34</f>
        <v>3</v>
      </c>
      <c r="E109" s="10" t="s">
        <v>229</v>
      </c>
      <c r="F109" s="11" t="n">
        <v>1</v>
      </c>
      <c r="G109" s="12" t="n">
        <v>0</v>
      </c>
      <c r="H109" s="13" t="n">
        <f aca="false">D109*F109*(1+G109)</f>
        <v>3</v>
      </c>
      <c r="I109" s="11" t="n">
        <v>1</v>
      </c>
      <c r="J109" s="7" t="s">
        <v>26</v>
      </c>
      <c r="K109" s="14" t="n">
        <f aca="false">ROUNDUP(H109/I109,0)</f>
        <v>3</v>
      </c>
      <c r="L109" s="15"/>
      <c r="M109" s="16"/>
      <c r="N109" s="17" t="str">
        <f aca="false">IF(M109="","",K109*M109)</f>
        <v/>
      </c>
    </row>
    <row r="110" customFormat="false" ht="15" hidden="false" customHeight="false" outlineLevel="0" collapsed="false">
      <c r="A110" s="7" t="n">
        <v>97</v>
      </c>
      <c r="B110" s="8" t="s">
        <v>230</v>
      </c>
      <c r="C110" s="7" t="s">
        <v>26</v>
      </c>
      <c r="D110" s="9" t="n">
        <f aca="false">Объёмы!C35</f>
        <v>2</v>
      </c>
      <c r="E110" s="10" t="s">
        <v>231</v>
      </c>
      <c r="F110" s="11" t="n">
        <v>1</v>
      </c>
      <c r="G110" s="12" t="n">
        <v>0</v>
      </c>
      <c r="H110" s="13" t="n">
        <f aca="false">D110*F110*(1+G110)</f>
        <v>2</v>
      </c>
      <c r="I110" s="11" t="n">
        <v>1</v>
      </c>
      <c r="J110" s="7" t="s">
        <v>26</v>
      </c>
      <c r="K110" s="14" t="n">
        <f aca="false">ROUNDUP(H110/I110,0)</f>
        <v>2</v>
      </c>
      <c r="L110" s="15"/>
      <c r="M110" s="16"/>
      <c r="N110" s="17" t="str">
        <f aca="false">IF(M110="","",K110*M110)</f>
        <v/>
      </c>
    </row>
    <row r="111" customFormat="false" ht="15" hidden="false" customHeight="false" outlineLevel="0" collapsed="false">
      <c r="A111" s="7" t="n">
        <v>98</v>
      </c>
      <c r="B111" s="8" t="s">
        <v>232</v>
      </c>
      <c r="C111" s="7" t="s">
        <v>26</v>
      </c>
      <c r="D111" s="9" t="n">
        <f aca="false">Объёмы!C36</f>
        <v>1</v>
      </c>
      <c r="E111" s="10" t="s">
        <v>233</v>
      </c>
      <c r="F111" s="11" t="n">
        <v>1</v>
      </c>
      <c r="G111" s="12" t="n">
        <v>0</v>
      </c>
      <c r="H111" s="13" t="n">
        <f aca="false">D111*F111*(1+G111)</f>
        <v>1</v>
      </c>
      <c r="I111" s="11" t="n">
        <v>1</v>
      </c>
      <c r="J111" s="7" t="s">
        <v>26</v>
      </c>
      <c r="K111" s="14" t="n">
        <f aca="false">ROUNDUP(H111/I111,0)</f>
        <v>1</v>
      </c>
      <c r="L111" s="15"/>
      <c r="M111" s="16"/>
      <c r="N111" s="17" t="str">
        <f aca="false">IF(M111="","",K111*M111)</f>
        <v/>
      </c>
    </row>
    <row r="112" customFormat="false" ht="15" hidden="false" customHeight="false" outlineLevel="0" collapsed="false">
      <c r="A112" s="7" t="n">
        <v>99</v>
      </c>
      <c r="B112" s="8" t="s">
        <v>234</v>
      </c>
      <c r="C112" s="7" t="s">
        <v>26</v>
      </c>
      <c r="D112" s="9" t="n">
        <f aca="false">Объёмы!C37</f>
        <v>2</v>
      </c>
      <c r="E112" s="10" t="s">
        <v>235</v>
      </c>
      <c r="F112" s="11" t="n">
        <v>1</v>
      </c>
      <c r="G112" s="12" t="n">
        <v>0</v>
      </c>
      <c r="H112" s="13" t="n">
        <f aca="false">D112*F112*(1+G112)</f>
        <v>2</v>
      </c>
      <c r="I112" s="11" t="n">
        <v>1</v>
      </c>
      <c r="J112" s="7" t="s">
        <v>26</v>
      </c>
      <c r="K112" s="14" t="n">
        <f aca="false">ROUNDUP(H112/I112,0)</f>
        <v>2</v>
      </c>
      <c r="L112" s="15" t="s">
        <v>236</v>
      </c>
      <c r="M112" s="16"/>
      <c r="N112" s="17" t="str">
        <f aca="false">IF(M112="","",K112*M112)</f>
        <v/>
      </c>
    </row>
    <row r="113" customFormat="false" ht="15" hidden="false" customHeight="false" outlineLevel="0" collapsed="false">
      <c r="A113" s="7" t="n">
        <v>100</v>
      </c>
      <c r="B113" s="8" t="s">
        <v>237</v>
      </c>
      <c r="C113" s="7" t="s">
        <v>26</v>
      </c>
      <c r="D113" s="9" t="n">
        <f aca="false">Объёмы!C33</f>
        <v>2</v>
      </c>
      <c r="E113" s="10" t="s">
        <v>238</v>
      </c>
      <c r="F113" s="11" t="n">
        <v>1</v>
      </c>
      <c r="G113" s="12" t="n">
        <v>0</v>
      </c>
      <c r="H113" s="13" t="n">
        <f aca="false">D113*F113*(1+G113)</f>
        <v>2</v>
      </c>
      <c r="I113" s="11" t="n">
        <v>1</v>
      </c>
      <c r="J113" s="7" t="s">
        <v>26</v>
      </c>
      <c r="K113" s="14" t="n">
        <f aca="false">ROUNDUP(H113/I113,0)</f>
        <v>2</v>
      </c>
      <c r="L113" s="15"/>
      <c r="M113" s="16"/>
      <c r="N113" s="17" t="str">
        <f aca="false">IF(M113="","",K113*M113)</f>
        <v/>
      </c>
    </row>
    <row r="114" customFormat="false" ht="15" hidden="false" customHeight="false" outlineLevel="0" collapsed="false">
      <c r="A114" s="7" t="n">
        <v>101</v>
      </c>
      <c r="B114" s="8" t="s">
        <v>239</v>
      </c>
      <c r="C114" s="7" t="s">
        <v>26</v>
      </c>
      <c r="D114" s="9" t="n">
        <f aca="false">Объёмы!C33</f>
        <v>2</v>
      </c>
      <c r="E114" s="10" t="s">
        <v>238</v>
      </c>
      <c r="F114" s="11" t="n">
        <v>1</v>
      </c>
      <c r="G114" s="12" t="n">
        <v>0</v>
      </c>
      <c r="H114" s="13" t="n">
        <f aca="false">D114*F114*(1+G114)</f>
        <v>2</v>
      </c>
      <c r="I114" s="11" t="n">
        <v>1</v>
      </c>
      <c r="J114" s="7" t="s">
        <v>26</v>
      </c>
      <c r="K114" s="14" t="n">
        <f aca="false">ROUNDUP(H114/I114,0)</f>
        <v>2</v>
      </c>
      <c r="L114" s="15"/>
      <c r="M114" s="16"/>
      <c r="N114" s="17" t="str">
        <f aca="false">IF(M114="","",K114*M114)</f>
        <v/>
      </c>
    </row>
    <row r="115" customFormat="false" ht="15" hidden="false" customHeight="false" outlineLevel="0" collapsed="false">
      <c r="A115" s="7" t="n">
        <v>102</v>
      </c>
      <c r="B115" s="8" t="s">
        <v>240</v>
      </c>
      <c r="C115" s="7" t="s">
        <v>26</v>
      </c>
      <c r="D115" s="18" t="n">
        <v>3</v>
      </c>
      <c r="E115" s="10" t="s">
        <v>32</v>
      </c>
      <c r="F115" s="11" t="n">
        <v>1</v>
      </c>
      <c r="G115" s="12" t="n">
        <v>0</v>
      </c>
      <c r="H115" s="13" t="n">
        <f aca="false">D115*F115*(1+G115)</f>
        <v>3</v>
      </c>
      <c r="I115" s="11" t="n">
        <v>1</v>
      </c>
      <c r="J115" s="7" t="s">
        <v>26</v>
      </c>
      <c r="K115" s="14" t="n">
        <f aca="false">ROUNDUP(H115/I115,0)</f>
        <v>3</v>
      </c>
      <c r="L115" s="15"/>
      <c r="M115" s="16"/>
      <c r="N115" s="17" t="str">
        <f aca="false">IF(M115="","",K115*M115)</f>
        <v/>
      </c>
    </row>
    <row r="116" customFormat="false" ht="15" hidden="false" customHeight="false" outlineLevel="0" collapsed="false">
      <c r="A116" s="4"/>
      <c r="B116" s="5" t="s">
        <v>241</v>
      </c>
      <c r="C116" s="4"/>
      <c r="D116" s="4"/>
      <c r="E116" s="4"/>
      <c r="F116" s="4"/>
      <c r="G116" s="4"/>
      <c r="H116" s="4"/>
      <c r="I116" s="4"/>
      <c r="J116" s="4"/>
      <c r="K116" s="4"/>
      <c r="L116" s="6" t="s">
        <v>242</v>
      </c>
      <c r="M116" s="4"/>
      <c r="N116" s="4"/>
    </row>
    <row r="117" customFormat="false" ht="15" hidden="false" customHeight="false" outlineLevel="0" collapsed="false">
      <c r="A117" s="7" t="n">
        <v>103</v>
      </c>
      <c r="B117" s="8" t="s">
        <v>243</v>
      </c>
      <c r="C117" s="7" t="s">
        <v>26</v>
      </c>
      <c r="D117" s="18" t="n">
        <v>9</v>
      </c>
      <c r="E117" s="10" t="s">
        <v>32</v>
      </c>
      <c r="F117" s="11" t="n">
        <v>1</v>
      </c>
      <c r="G117" s="12" t="n">
        <v>0</v>
      </c>
      <c r="H117" s="13" t="n">
        <f aca="false">D117*F117*(1+G117)</f>
        <v>9</v>
      </c>
      <c r="I117" s="11" t="n">
        <v>1</v>
      </c>
      <c r="J117" s="7" t="s">
        <v>26</v>
      </c>
      <c r="K117" s="14" t="n">
        <f aca="false">ROUNDUP(H117/I117,0)</f>
        <v>9</v>
      </c>
      <c r="L117" s="15" t="s">
        <v>244</v>
      </c>
      <c r="M117" s="16"/>
      <c r="N117" s="17" t="str">
        <f aca="false">IF(M117="","",K117*M117)</f>
        <v/>
      </c>
    </row>
    <row r="118" customFormat="false" ht="15" hidden="false" customHeight="false" outlineLevel="0" collapsed="false">
      <c r="A118" s="7" t="n">
        <v>104</v>
      </c>
      <c r="B118" s="8" t="s">
        <v>245</v>
      </c>
      <c r="C118" s="7" t="s">
        <v>26</v>
      </c>
      <c r="D118" s="18" t="n">
        <v>2</v>
      </c>
      <c r="E118" s="10" t="s">
        <v>32</v>
      </c>
      <c r="F118" s="11" t="n">
        <v>1</v>
      </c>
      <c r="G118" s="12" t="n">
        <v>0</v>
      </c>
      <c r="H118" s="13" t="n">
        <f aca="false">D118*F118*(1+G118)</f>
        <v>2</v>
      </c>
      <c r="I118" s="11" t="n">
        <v>1</v>
      </c>
      <c r="J118" s="7" t="s">
        <v>26</v>
      </c>
      <c r="K118" s="14" t="n">
        <f aca="false">ROUNDUP(H118/I118,0)</f>
        <v>2</v>
      </c>
      <c r="L118" s="15" t="s">
        <v>222</v>
      </c>
      <c r="M118" s="16"/>
      <c r="N118" s="17" t="str">
        <f aca="false">IF(M118="","",K118*M118)</f>
        <v/>
      </c>
    </row>
    <row r="119" customFormat="false" ht="15" hidden="false" customHeight="false" outlineLevel="0" collapsed="false">
      <c r="A119" s="7" t="n">
        <v>105</v>
      </c>
      <c r="B119" s="8" t="s">
        <v>246</v>
      </c>
      <c r="C119" s="7" t="s">
        <v>26</v>
      </c>
      <c r="D119" s="9" t="n">
        <f aca="false">Объёмы!C48</f>
        <v>1</v>
      </c>
      <c r="E119" s="10" t="s">
        <v>247</v>
      </c>
      <c r="F119" s="11" t="n">
        <v>1</v>
      </c>
      <c r="G119" s="12" t="n">
        <v>0</v>
      </c>
      <c r="H119" s="13" t="n">
        <f aca="false">D119*F119*(1+G119)</f>
        <v>1</v>
      </c>
      <c r="I119" s="11" t="n">
        <v>1</v>
      </c>
      <c r="J119" s="7" t="s">
        <v>26</v>
      </c>
      <c r="K119" s="14" t="n">
        <f aca="false">ROUNDUP(H119/I119,0)</f>
        <v>1</v>
      </c>
      <c r="L119" s="15" t="s">
        <v>248</v>
      </c>
      <c r="M119" s="16"/>
      <c r="N119" s="17" t="str">
        <f aca="false">IF(M119="","",K119*M119)</f>
        <v/>
      </c>
    </row>
    <row r="120" customFormat="false" ht="15" hidden="false" customHeight="false" outlineLevel="0" collapsed="false">
      <c r="A120" s="7" t="n">
        <v>106</v>
      </c>
      <c r="B120" s="8" t="s">
        <v>249</v>
      </c>
      <c r="C120" s="7" t="s">
        <v>26</v>
      </c>
      <c r="D120" s="9" t="n">
        <f aca="false">Объёмы!C47</f>
        <v>12</v>
      </c>
      <c r="E120" s="10" t="s">
        <v>250</v>
      </c>
      <c r="F120" s="11" t="n">
        <v>1</v>
      </c>
      <c r="G120" s="12" t="n">
        <v>0</v>
      </c>
      <c r="H120" s="13" t="n">
        <f aca="false">D120*F120*(1+G120)</f>
        <v>12</v>
      </c>
      <c r="I120" s="11" t="n">
        <v>1</v>
      </c>
      <c r="J120" s="7" t="s">
        <v>26</v>
      </c>
      <c r="K120" s="14" t="n">
        <f aca="false">ROUNDUP(H120/I120,0)</f>
        <v>12</v>
      </c>
      <c r="L120" s="15"/>
      <c r="M120" s="16"/>
      <c r="N120" s="17" t="str">
        <f aca="false">IF(M120="","",K120*M120)</f>
        <v/>
      </c>
    </row>
    <row r="121" customFormat="false" ht="15" hidden="false" customHeight="false" outlineLevel="0" collapsed="false">
      <c r="A121" s="7" t="n">
        <v>107</v>
      </c>
      <c r="B121" s="8" t="s">
        <v>251</v>
      </c>
      <c r="C121" s="7" t="s">
        <v>26</v>
      </c>
      <c r="D121" s="9" t="n">
        <f aca="false">Объёмы!C49</f>
        <v>2</v>
      </c>
      <c r="E121" s="10" t="s">
        <v>252</v>
      </c>
      <c r="F121" s="11" t="n">
        <v>1</v>
      </c>
      <c r="G121" s="12" t="n">
        <v>0</v>
      </c>
      <c r="H121" s="13" t="n">
        <f aca="false">D121*F121*(1+G121)</f>
        <v>2</v>
      </c>
      <c r="I121" s="11" t="n">
        <v>1</v>
      </c>
      <c r="J121" s="7" t="s">
        <v>26</v>
      </c>
      <c r="K121" s="14" t="n">
        <f aca="false">ROUNDUP(H121/I121,0)</f>
        <v>2</v>
      </c>
      <c r="L121" s="15" t="s">
        <v>253</v>
      </c>
      <c r="M121" s="16"/>
      <c r="N121" s="17" t="str">
        <f aca="false">IF(M121="","",K121*M121)</f>
        <v/>
      </c>
    </row>
    <row r="122" customFormat="false" ht="15" hidden="false" customHeight="false" outlineLevel="0" collapsed="false">
      <c r="A122" s="7" t="n">
        <v>108</v>
      </c>
      <c r="B122" s="8" t="s">
        <v>254</v>
      </c>
      <c r="C122" s="7" t="s">
        <v>26</v>
      </c>
      <c r="D122" s="9" t="n">
        <f aca="false">Объёмы!C50</f>
        <v>3</v>
      </c>
      <c r="E122" s="10" t="s">
        <v>255</v>
      </c>
      <c r="F122" s="11" t="n">
        <v>1</v>
      </c>
      <c r="G122" s="12" t="n">
        <v>0</v>
      </c>
      <c r="H122" s="13" t="n">
        <f aca="false">D122*F122*(1+G122)</f>
        <v>3</v>
      </c>
      <c r="I122" s="11" t="n">
        <v>1</v>
      </c>
      <c r="J122" s="7" t="s">
        <v>26</v>
      </c>
      <c r="K122" s="14" t="n">
        <f aca="false">ROUNDUP(H122/I122,0)</f>
        <v>3</v>
      </c>
      <c r="L122" s="15" t="s">
        <v>256</v>
      </c>
      <c r="M122" s="16"/>
      <c r="N122" s="17" t="str">
        <f aca="false">IF(M122="","",K122*M122)</f>
        <v/>
      </c>
    </row>
    <row r="123" customFormat="false" ht="15" hidden="false" customHeight="false" outlineLevel="0" collapsed="false">
      <c r="A123" s="7" t="n">
        <v>109</v>
      </c>
      <c r="B123" s="8" t="s">
        <v>257</v>
      </c>
      <c r="C123" s="7" t="s">
        <v>26</v>
      </c>
      <c r="D123" s="9" t="n">
        <f aca="false">Объёмы!C51</f>
        <v>1</v>
      </c>
      <c r="E123" s="10" t="s">
        <v>258</v>
      </c>
      <c r="F123" s="11" t="n">
        <v>1</v>
      </c>
      <c r="G123" s="12" t="n">
        <v>0</v>
      </c>
      <c r="H123" s="13" t="n">
        <f aca="false">D123*F123*(1+G123)</f>
        <v>1</v>
      </c>
      <c r="I123" s="11" t="n">
        <v>1</v>
      </c>
      <c r="J123" s="7" t="s">
        <v>26</v>
      </c>
      <c r="K123" s="14" t="n">
        <f aca="false">ROUNDUP(H123/I123,0)</f>
        <v>1</v>
      </c>
      <c r="L123" s="15"/>
      <c r="M123" s="16"/>
      <c r="N123" s="17" t="str">
        <f aca="false">IF(M123="","",K123*M123)</f>
        <v/>
      </c>
    </row>
    <row r="124" customFormat="false" ht="15" hidden="false" customHeight="false" outlineLevel="0" collapsed="false">
      <c r="A124" s="7" t="n">
        <v>110</v>
      </c>
      <c r="B124" s="8" t="s">
        <v>259</v>
      </c>
      <c r="C124" s="7" t="s">
        <v>24</v>
      </c>
      <c r="D124" s="9" t="n">
        <f aca="false">Объёмы!C52</f>
        <v>4.1</v>
      </c>
      <c r="E124" s="10" t="s">
        <v>260</v>
      </c>
      <c r="F124" s="11" t="n">
        <v>1</v>
      </c>
      <c r="G124" s="12" t="n">
        <v>0.1</v>
      </c>
      <c r="H124" s="13" t="n">
        <f aca="false">D124*F124*(1+G124)</f>
        <v>4.51</v>
      </c>
      <c r="I124" s="11" t="n">
        <v>5</v>
      </c>
      <c r="J124" s="7" t="s">
        <v>261</v>
      </c>
      <c r="K124" s="14" t="n">
        <f aca="false">ROUNDUP(H124/I124,0)</f>
        <v>1</v>
      </c>
      <c r="L124" s="15"/>
      <c r="M124" s="16"/>
      <c r="N124" s="17" t="str">
        <f aca="false">IF(M124="","",K124*M124)</f>
        <v/>
      </c>
    </row>
    <row r="125" customFormat="false" ht="15" hidden="false" customHeight="false" outlineLevel="0" collapsed="false">
      <c r="A125" s="7" t="n">
        <v>111</v>
      </c>
      <c r="B125" s="8" t="s">
        <v>262</v>
      </c>
      <c r="C125" s="7" t="s">
        <v>24</v>
      </c>
      <c r="D125" s="9" t="n">
        <f aca="false">Объёмы!C52</f>
        <v>4.1</v>
      </c>
      <c r="E125" s="10" t="s">
        <v>260</v>
      </c>
      <c r="F125" s="11" t="n">
        <v>1</v>
      </c>
      <c r="G125" s="12" t="n">
        <v>0.1</v>
      </c>
      <c r="H125" s="13" t="n">
        <f aca="false">D125*F125*(1+G125)</f>
        <v>4.51</v>
      </c>
      <c r="I125" s="11" t="n">
        <v>2</v>
      </c>
      <c r="J125" s="7" t="s">
        <v>26</v>
      </c>
      <c r="K125" s="14" t="n">
        <f aca="false">ROUNDUP(H125/I125,0)</f>
        <v>3</v>
      </c>
      <c r="L125" s="15"/>
      <c r="M125" s="16"/>
      <c r="N125" s="17" t="str">
        <f aca="false">IF(M125="","",K125*M125)</f>
        <v/>
      </c>
    </row>
    <row r="126" customFormat="false" ht="15" hidden="false" customHeight="false" outlineLevel="0" collapsed="false">
      <c r="A126" s="7" t="n">
        <v>112</v>
      </c>
      <c r="B126" s="8" t="s">
        <v>263</v>
      </c>
      <c r="C126" s="7" t="s">
        <v>26</v>
      </c>
      <c r="D126" s="18" t="n">
        <v>1</v>
      </c>
      <c r="E126" s="10" t="s">
        <v>32</v>
      </c>
      <c r="F126" s="11" t="n">
        <v>1</v>
      </c>
      <c r="G126" s="12" t="n">
        <v>0</v>
      </c>
      <c r="H126" s="13" t="n">
        <f aca="false">D126*F126*(1+G126)</f>
        <v>1</v>
      </c>
      <c r="I126" s="11" t="n">
        <v>1</v>
      </c>
      <c r="J126" s="7" t="s">
        <v>26</v>
      </c>
      <c r="K126" s="14" t="n">
        <f aca="false">ROUNDUP(H126/I126,0)</f>
        <v>1</v>
      </c>
      <c r="L126" s="15"/>
      <c r="M126" s="16"/>
      <c r="N126" s="17" t="str">
        <f aca="false">IF(M126="","",K126*M126)</f>
        <v/>
      </c>
    </row>
    <row r="127" customFormat="false" ht="15" hidden="false" customHeight="false" outlineLevel="0" collapsed="false">
      <c r="A127" s="7" t="n">
        <v>113</v>
      </c>
      <c r="B127" s="8" t="s">
        <v>264</v>
      </c>
      <c r="C127" s="7" t="s">
        <v>26</v>
      </c>
      <c r="D127" s="18" t="n">
        <v>1</v>
      </c>
      <c r="E127" s="10" t="s">
        <v>32</v>
      </c>
      <c r="F127" s="11" t="n">
        <v>1</v>
      </c>
      <c r="G127" s="12" t="n">
        <v>0</v>
      </c>
      <c r="H127" s="13" t="n">
        <f aca="false">D127*F127*(1+G127)</f>
        <v>1</v>
      </c>
      <c r="I127" s="11" t="n">
        <v>1</v>
      </c>
      <c r="J127" s="7" t="s">
        <v>26</v>
      </c>
      <c r="K127" s="14" t="n">
        <f aca="false">ROUNDUP(H127/I127,0)</f>
        <v>1</v>
      </c>
      <c r="L127" s="15" t="s">
        <v>222</v>
      </c>
      <c r="M127" s="16"/>
      <c r="N127" s="17" t="str">
        <f aca="false">IF(M127="","",K127*M127)</f>
        <v/>
      </c>
    </row>
    <row r="128" customFormat="false" ht="15" hidden="false" customHeight="false" outlineLevel="0" collapsed="false">
      <c r="A128" s="4"/>
      <c r="B128" s="5" t="s">
        <v>265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customFormat="false" ht="15" hidden="false" customHeight="false" outlineLevel="0" collapsed="false">
      <c r="A129" s="7" t="n">
        <v>114</v>
      </c>
      <c r="B129" s="8" t="s">
        <v>266</v>
      </c>
      <c r="C129" s="7" t="s">
        <v>26</v>
      </c>
      <c r="D129" s="18" t="n">
        <v>1</v>
      </c>
      <c r="E129" s="10" t="s">
        <v>32</v>
      </c>
      <c r="F129" s="11" t="n">
        <v>1</v>
      </c>
      <c r="G129" s="12" t="n">
        <v>0</v>
      </c>
      <c r="H129" s="13" t="n">
        <f aca="false">D129*F129*(1+G129)</f>
        <v>1</v>
      </c>
      <c r="I129" s="11" t="n">
        <v>1</v>
      </c>
      <c r="J129" s="7" t="s">
        <v>26</v>
      </c>
      <c r="K129" s="14" t="n">
        <f aca="false">ROUNDUP(H129/I129,0)</f>
        <v>1</v>
      </c>
      <c r="L129" s="15" t="s">
        <v>267</v>
      </c>
      <c r="M129" s="16"/>
      <c r="N129" s="17" t="str">
        <f aca="false">IF(M129="","",K129*M129)</f>
        <v/>
      </c>
    </row>
    <row r="130" customFormat="false" ht="15" hidden="false" customHeight="false" outlineLevel="0" collapsed="false">
      <c r="A130" s="7" t="n">
        <v>115</v>
      </c>
      <c r="B130" s="8" t="s">
        <v>268</v>
      </c>
      <c r="C130" s="7" t="s">
        <v>26</v>
      </c>
      <c r="D130" s="18" t="n">
        <v>1</v>
      </c>
      <c r="E130" s="10" t="s">
        <v>32</v>
      </c>
      <c r="F130" s="11" t="n">
        <v>1</v>
      </c>
      <c r="G130" s="12" t="n">
        <v>0</v>
      </c>
      <c r="H130" s="13" t="n">
        <f aca="false">D130*F130*(1+G130)</f>
        <v>1</v>
      </c>
      <c r="I130" s="11" t="n">
        <v>1</v>
      </c>
      <c r="J130" s="7" t="s">
        <v>26</v>
      </c>
      <c r="K130" s="14" t="n">
        <f aca="false">ROUNDUP(H130/I130,0)</f>
        <v>1</v>
      </c>
      <c r="L130" s="15"/>
      <c r="M130" s="16"/>
      <c r="N130" s="17" t="str">
        <f aca="false">IF(M130="","",K130*M130)</f>
        <v/>
      </c>
    </row>
    <row r="131" customFormat="false" ht="15" hidden="false" customHeight="false" outlineLevel="0" collapsed="false">
      <c r="A131" s="7" t="n">
        <v>116</v>
      </c>
      <c r="B131" s="8" t="s">
        <v>269</v>
      </c>
      <c r="C131" s="7" t="s">
        <v>24</v>
      </c>
      <c r="D131" s="18" t="n">
        <v>2</v>
      </c>
      <c r="E131" s="10" t="s">
        <v>32</v>
      </c>
      <c r="F131" s="11" t="n">
        <v>1</v>
      </c>
      <c r="G131" s="12" t="n">
        <v>0</v>
      </c>
      <c r="H131" s="13" t="n">
        <f aca="false">D131*F131*(1+G131)</f>
        <v>2</v>
      </c>
      <c r="I131" s="11" t="n">
        <v>1</v>
      </c>
      <c r="J131" s="7" t="s">
        <v>24</v>
      </c>
      <c r="K131" s="14" t="n">
        <f aca="false">ROUNDUP(H131/I131,0)</f>
        <v>2</v>
      </c>
      <c r="L131" s="15"/>
      <c r="M131" s="16"/>
      <c r="N131" s="17" t="str">
        <f aca="false">IF(M131="","",K131*M131)</f>
        <v/>
      </c>
    </row>
    <row r="132" customFormat="false" ht="15" hidden="false" customHeight="false" outlineLevel="0" collapsed="false">
      <c r="A132" s="4"/>
      <c r="B132" s="5" t="s">
        <v>270</v>
      </c>
      <c r="C132" s="4"/>
      <c r="D132" s="4"/>
      <c r="E132" s="4"/>
      <c r="F132" s="4"/>
      <c r="G132" s="4"/>
      <c r="H132" s="4"/>
      <c r="I132" s="4"/>
      <c r="J132" s="4"/>
      <c r="K132" s="4"/>
      <c r="L132" s="6" t="s">
        <v>271</v>
      </c>
      <c r="M132" s="4"/>
      <c r="N132" s="4"/>
    </row>
    <row r="133" customFormat="false" ht="15" hidden="false" customHeight="false" outlineLevel="0" collapsed="false">
      <c r="A133" s="7" t="n">
        <v>117</v>
      </c>
      <c r="B133" s="8" t="s">
        <v>272</v>
      </c>
      <c r="C133" s="7" t="s">
        <v>24</v>
      </c>
      <c r="D133" s="9" t="n">
        <f aca="false">Объёмы!C54</f>
        <v>5.24</v>
      </c>
      <c r="E133" s="10" t="s">
        <v>273</v>
      </c>
      <c r="F133" s="11" t="n">
        <v>1</v>
      </c>
      <c r="G133" s="12" t="n">
        <v>0.4</v>
      </c>
      <c r="H133" s="13" t="n">
        <f aca="false">D133*F133*(1+G133)</f>
        <v>7.336</v>
      </c>
      <c r="I133" s="11" t="n">
        <v>2</v>
      </c>
      <c r="J133" s="7" t="s">
        <v>26</v>
      </c>
      <c r="K133" s="14" t="n">
        <f aca="false">ROUNDUP(H133/I133,0)</f>
        <v>4</v>
      </c>
      <c r="L133" s="15" t="s">
        <v>274</v>
      </c>
      <c r="M133" s="16"/>
      <c r="N133" s="17" t="str">
        <f aca="false">IF(M133="","",K133*M133)</f>
        <v/>
      </c>
    </row>
    <row r="134" customFormat="false" ht="15" hidden="false" customHeight="false" outlineLevel="0" collapsed="false">
      <c r="A134" s="7" t="n">
        <v>118</v>
      </c>
      <c r="B134" s="8" t="s">
        <v>275</v>
      </c>
      <c r="C134" s="7" t="s">
        <v>24</v>
      </c>
      <c r="D134" s="9" t="n">
        <f aca="false">Объёмы!C55</f>
        <v>3.24</v>
      </c>
      <c r="E134" s="10" t="s">
        <v>276</v>
      </c>
      <c r="F134" s="11" t="n">
        <v>1</v>
      </c>
      <c r="G134" s="12" t="n">
        <v>0.4</v>
      </c>
      <c r="H134" s="13" t="n">
        <f aca="false">D134*F134*(1+G134)</f>
        <v>4.536</v>
      </c>
      <c r="I134" s="11" t="n">
        <v>2</v>
      </c>
      <c r="J134" s="7" t="s">
        <v>26</v>
      </c>
      <c r="K134" s="14" t="n">
        <f aca="false">ROUNDUP(H134/I134,0)</f>
        <v>3</v>
      </c>
      <c r="L134" s="15"/>
      <c r="M134" s="16"/>
      <c r="N134" s="17" t="str">
        <f aca="false">IF(M134="","",K134*M134)</f>
        <v/>
      </c>
    </row>
    <row r="135" customFormat="false" ht="15" hidden="false" customHeight="false" outlineLevel="0" collapsed="false">
      <c r="A135" s="7" t="n">
        <v>119</v>
      </c>
      <c r="B135" s="8" t="s">
        <v>277</v>
      </c>
      <c r="C135" s="7" t="s">
        <v>24</v>
      </c>
      <c r="D135" s="9" t="n">
        <f aca="false">Объёмы!C73</f>
        <v>8.48</v>
      </c>
      <c r="E135" s="10" t="s">
        <v>278</v>
      </c>
      <c r="F135" s="11" t="n">
        <v>1</v>
      </c>
      <c r="G135" s="12" t="n">
        <v>0.4</v>
      </c>
      <c r="H135" s="13" t="n">
        <f aca="false">D135*F135*(1+G135)</f>
        <v>11.872</v>
      </c>
      <c r="I135" s="11" t="n">
        <v>2</v>
      </c>
      <c r="J135" s="7" t="s">
        <v>26</v>
      </c>
      <c r="K135" s="14" t="n">
        <f aca="false">ROUNDUP(H135/I135,0)</f>
        <v>6</v>
      </c>
      <c r="L135" s="15"/>
      <c r="M135" s="16"/>
      <c r="N135" s="17" t="str">
        <f aca="false">IF(M135="","",K135*M135)</f>
        <v/>
      </c>
    </row>
    <row r="136" customFormat="false" ht="15" hidden="false" customHeight="false" outlineLevel="0" collapsed="false">
      <c r="A136" s="7" t="n">
        <v>120</v>
      </c>
      <c r="B136" s="8" t="s">
        <v>279</v>
      </c>
      <c r="C136" s="7" t="s">
        <v>26</v>
      </c>
      <c r="D136" s="18" t="n">
        <v>20</v>
      </c>
      <c r="E136" s="10" t="s">
        <v>32</v>
      </c>
      <c r="F136" s="11" t="n">
        <v>1</v>
      </c>
      <c r="G136" s="12" t="n">
        <v>0</v>
      </c>
      <c r="H136" s="13" t="n">
        <f aca="false">D136*F136*(1+G136)</f>
        <v>20</v>
      </c>
      <c r="I136" s="11" t="n">
        <v>1</v>
      </c>
      <c r="J136" s="7" t="s">
        <v>26</v>
      </c>
      <c r="K136" s="14" t="n">
        <f aca="false">ROUNDUP(H136/I136,0)</f>
        <v>20</v>
      </c>
      <c r="L136" s="15"/>
      <c r="M136" s="16"/>
      <c r="N136" s="17" t="str">
        <f aca="false">IF(M136="","",K136*M136)</f>
        <v/>
      </c>
    </row>
    <row r="137" customFormat="false" ht="15" hidden="false" customHeight="false" outlineLevel="0" collapsed="false">
      <c r="A137" s="7" t="n">
        <v>121</v>
      </c>
      <c r="B137" s="8" t="s">
        <v>280</v>
      </c>
      <c r="C137" s="7" t="s">
        <v>26</v>
      </c>
      <c r="D137" s="18" t="n">
        <v>6</v>
      </c>
      <c r="E137" s="10" t="s">
        <v>32</v>
      </c>
      <c r="F137" s="11" t="n">
        <v>1</v>
      </c>
      <c r="G137" s="12" t="n">
        <v>0</v>
      </c>
      <c r="H137" s="13" t="n">
        <f aca="false">D137*F137*(1+G137)</f>
        <v>6</v>
      </c>
      <c r="I137" s="11" t="n">
        <v>1</v>
      </c>
      <c r="J137" s="7" t="s">
        <v>26</v>
      </c>
      <c r="K137" s="14" t="n">
        <f aca="false">ROUNDUP(H137/I137,0)</f>
        <v>6</v>
      </c>
      <c r="L137" s="15"/>
      <c r="M137" s="16"/>
      <c r="N137" s="17" t="str">
        <f aca="false">IF(M137="","",K137*M137)</f>
        <v/>
      </c>
    </row>
    <row r="138" customFormat="false" ht="15" hidden="false" customHeight="false" outlineLevel="0" collapsed="false">
      <c r="A138" s="7" t="n">
        <v>122</v>
      </c>
      <c r="B138" s="8" t="s">
        <v>281</v>
      </c>
      <c r="C138" s="7" t="s">
        <v>26</v>
      </c>
      <c r="D138" s="9" t="n">
        <f aca="false">Объёмы!C59</f>
        <v>8</v>
      </c>
      <c r="E138" s="10" t="s">
        <v>282</v>
      </c>
      <c r="F138" s="11" t="n">
        <v>1</v>
      </c>
      <c r="G138" s="12" t="n">
        <v>0</v>
      </c>
      <c r="H138" s="13" t="n">
        <f aca="false">D138*F138*(1+G138)</f>
        <v>8</v>
      </c>
      <c r="I138" s="11" t="n">
        <v>1</v>
      </c>
      <c r="J138" s="7" t="s">
        <v>26</v>
      </c>
      <c r="K138" s="14" t="n">
        <f aca="false">ROUNDUP(H138/I138,0)</f>
        <v>8</v>
      </c>
      <c r="L138" s="15"/>
      <c r="M138" s="16"/>
      <c r="N138" s="17" t="str">
        <f aca="false">IF(M138="","",K138*M138)</f>
        <v/>
      </c>
    </row>
    <row r="139" customFormat="false" ht="15" hidden="false" customHeight="false" outlineLevel="0" collapsed="false">
      <c r="A139" s="7" t="n">
        <v>123</v>
      </c>
      <c r="B139" s="8" t="s">
        <v>283</v>
      </c>
      <c r="C139" s="7" t="s">
        <v>26</v>
      </c>
      <c r="D139" s="18" t="n">
        <v>4</v>
      </c>
      <c r="E139" s="10" t="s">
        <v>32</v>
      </c>
      <c r="F139" s="11" t="n">
        <v>1</v>
      </c>
      <c r="G139" s="12" t="n">
        <v>0</v>
      </c>
      <c r="H139" s="13" t="n">
        <f aca="false">D139*F139*(1+G139)</f>
        <v>4</v>
      </c>
      <c r="I139" s="11" t="n">
        <v>1</v>
      </c>
      <c r="J139" s="7" t="s">
        <v>26</v>
      </c>
      <c r="K139" s="14" t="n">
        <f aca="false">ROUNDUP(H139/I139,0)</f>
        <v>4</v>
      </c>
      <c r="L139" s="15"/>
      <c r="M139" s="16"/>
      <c r="N139" s="17" t="str">
        <f aca="false">IF(M139="","",K139*M139)</f>
        <v/>
      </c>
    </row>
    <row r="140" customFormat="false" ht="15" hidden="false" customHeight="false" outlineLevel="0" collapsed="false">
      <c r="A140" s="7" t="n">
        <v>124</v>
      </c>
      <c r="B140" s="8" t="s">
        <v>284</v>
      </c>
      <c r="C140" s="7" t="s">
        <v>26</v>
      </c>
      <c r="D140" s="9" t="n">
        <f aca="false">Объёмы!C59</f>
        <v>8</v>
      </c>
      <c r="E140" s="10" t="s">
        <v>282</v>
      </c>
      <c r="F140" s="11" t="n">
        <v>1</v>
      </c>
      <c r="G140" s="12" t="n">
        <v>0</v>
      </c>
      <c r="H140" s="13" t="n">
        <f aca="false">D140*F140*(1+G140)</f>
        <v>8</v>
      </c>
      <c r="I140" s="11" t="n">
        <v>1</v>
      </c>
      <c r="J140" s="7" t="s">
        <v>26</v>
      </c>
      <c r="K140" s="14" t="n">
        <f aca="false">ROUNDUP(H140/I140,0)</f>
        <v>8</v>
      </c>
      <c r="L140" s="15"/>
      <c r="M140" s="16"/>
      <c r="N140" s="17" t="str">
        <f aca="false">IF(M140="","",K140*M140)</f>
        <v/>
      </c>
    </row>
    <row r="141" customFormat="false" ht="15" hidden="false" customHeight="false" outlineLevel="0" collapsed="false">
      <c r="A141" s="7" t="n">
        <v>125</v>
      </c>
      <c r="B141" s="8" t="s">
        <v>285</v>
      </c>
      <c r="C141" s="7" t="s">
        <v>24</v>
      </c>
      <c r="D141" s="9" t="n">
        <f aca="false">Объёмы!C56</f>
        <v>4.89</v>
      </c>
      <c r="E141" s="10" t="s">
        <v>286</v>
      </c>
      <c r="F141" s="11" t="n">
        <v>1</v>
      </c>
      <c r="G141" s="12" t="n">
        <v>0.3</v>
      </c>
      <c r="H141" s="13" t="n">
        <f aca="false">D141*F141*(1+G141)</f>
        <v>6.357</v>
      </c>
      <c r="I141" s="11" t="n">
        <v>1</v>
      </c>
      <c r="J141" s="7" t="s">
        <v>287</v>
      </c>
      <c r="K141" s="14" t="n">
        <f aca="false">ROUNDUP(H141/I141,0)</f>
        <v>7</v>
      </c>
      <c r="L141" s="15"/>
      <c r="M141" s="16"/>
      <c r="N141" s="17" t="str">
        <f aca="false">IF(M141="","",K141*M141)</f>
        <v/>
      </c>
    </row>
    <row r="142" customFormat="false" ht="15" hidden="false" customHeight="false" outlineLevel="0" collapsed="false">
      <c r="A142" s="7" t="n">
        <v>126</v>
      </c>
      <c r="B142" s="8" t="s">
        <v>288</v>
      </c>
      <c r="C142" s="7" t="s">
        <v>24</v>
      </c>
      <c r="D142" s="9" t="n">
        <f aca="false">Объёмы!C57</f>
        <v>0.67</v>
      </c>
      <c r="E142" s="10" t="s">
        <v>289</v>
      </c>
      <c r="F142" s="11" t="n">
        <v>1</v>
      </c>
      <c r="G142" s="12" t="n">
        <v>0.5</v>
      </c>
      <c r="H142" s="13" t="n">
        <f aca="false">D142*F142*(1+G142)</f>
        <v>1.005</v>
      </c>
      <c r="I142" s="11" t="n">
        <v>1</v>
      </c>
      <c r="J142" s="7" t="s">
        <v>287</v>
      </c>
      <c r="K142" s="14" t="n">
        <f aca="false">ROUNDUP(H142/I142,0)</f>
        <v>2</v>
      </c>
      <c r="L142" s="15"/>
      <c r="M142" s="16"/>
      <c r="N142" s="17" t="str">
        <f aca="false">IF(M142="","",K142*M142)</f>
        <v/>
      </c>
    </row>
    <row r="143" customFormat="false" ht="15" hidden="false" customHeight="false" outlineLevel="0" collapsed="false">
      <c r="A143" s="7" t="n">
        <v>127</v>
      </c>
      <c r="B143" s="8" t="s">
        <v>290</v>
      </c>
      <c r="C143" s="7" t="s">
        <v>26</v>
      </c>
      <c r="D143" s="18" t="n">
        <v>12</v>
      </c>
      <c r="E143" s="10" t="s">
        <v>32</v>
      </c>
      <c r="F143" s="11" t="n">
        <v>1</v>
      </c>
      <c r="G143" s="12" t="n">
        <v>0</v>
      </c>
      <c r="H143" s="13" t="n">
        <f aca="false">D143*F143*(1+G143)</f>
        <v>12</v>
      </c>
      <c r="I143" s="11" t="n">
        <v>1</v>
      </c>
      <c r="J143" s="7" t="s">
        <v>26</v>
      </c>
      <c r="K143" s="14" t="n">
        <f aca="false">ROUNDUP(H143/I143,0)</f>
        <v>12</v>
      </c>
      <c r="L143" s="15"/>
      <c r="M143" s="16"/>
      <c r="N143" s="17" t="str">
        <f aca="false">IF(M143="","",K143*M143)</f>
        <v/>
      </c>
    </row>
    <row r="144" customFormat="false" ht="15" hidden="false" customHeight="false" outlineLevel="0" collapsed="false">
      <c r="A144" s="7" t="n">
        <v>128</v>
      </c>
      <c r="B144" s="8" t="s">
        <v>291</v>
      </c>
      <c r="C144" s="7" t="s">
        <v>26</v>
      </c>
      <c r="D144" s="18" t="n">
        <v>3</v>
      </c>
      <c r="E144" s="10" t="s">
        <v>32</v>
      </c>
      <c r="F144" s="11" t="n">
        <v>1</v>
      </c>
      <c r="G144" s="12" t="n">
        <v>0</v>
      </c>
      <c r="H144" s="13" t="n">
        <f aca="false">D144*F144*(1+G144)</f>
        <v>3</v>
      </c>
      <c r="I144" s="11" t="n">
        <v>1</v>
      </c>
      <c r="J144" s="7" t="s">
        <v>26</v>
      </c>
      <c r="K144" s="14" t="n">
        <f aca="false">ROUNDUP(H144/I144,0)</f>
        <v>3</v>
      </c>
      <c r="L144" s="15"/>
      <c r="M144" s="16"/>
      <c r="N144" s="17" t="str">
        <f aca="false">IF(M144="","",K144*M144)</f>
        <v/>
      </c>
    </row>
    <row r="145" customFormat="false" ht="15" hidden="false" customHeight="false" outlineLevel="0" collapsed="false">
      <c r="A145" s="7" t="n">
        <v>129</v>
      </c>
      <c r="B145" s="8" t="s">
        <v>292</v>
      </c>
      <c r="C145" s="7" t="s">
        <v>26</v>
      </c>
      <c r="D145" s="18" t="n">
        <v>3</v>
      </c>
      <c r="E145" s="10" t="s">
        <v>32</v>
      </c>
      <c r="F145" s="11" t="n">
        <v>1</v>
      </c>
      <c r="G145" s="12" t="n">
        <v>0</v>
      </c>
      <c r="H145" s="13" t="n">
        <f aca="false">D145*F145*(1+G145)</f>
        <v>3</v>
      </c>
      <c r="I145" s="11" t="n">
        <v>1</v>
      </c>
      <c r="J145" s="7" t="s">
        <v>26</v>
      </c>
      <c r="K145" s="14" t="n">
        <f aca="false">ROUNDUP(H145/I145,0)</f>
        <v>3</v>
      </c>
      <c r="L145" s="15"/>
      <c r="M145" s="16"/>
      <c r="N145" s="17" t="str">
        <f aca="false">IF(M145="","",K145*M145)</f>
        <v/>
      </c>
    </row>
    <row r="146" customFormat="false" ht="15" hidden="false" customHeight="false" outlineLevel="0" collapsed="false">
      <c r="A146" s="7" t="n">
        <v>130</v>
      </c>
      <c r="B146" s="8" t="s">
        <v>293</v>
      </c>
      <c r="C146" s="7" t="s">
        <v>26</v>
      </c>
      <c r="D146" s="9" t="n">
        <f aca="false">Объёмы!C74</f>
        <v>14.04</v>
      </c>
      <c r="E146" s="10" t="s">
        <v>294</v>
      </c>
      <c r="F146" s="11" t="n">
        <v>2</v>
      </c>
      <c r="G146" s="12" t="n">
        <v>0.2</v>
      </c>
      <c r="H146" s="13" t="n">
        <f aca="false">D146*F146*(1+G146)</f>
        <v>33.696</v>
      </c>
      <c r="I146" s="11" t="n">
        <v>1</v>
      </c>
      <c r="J146" s="7" t="s">
        <v>26</v>
      </c>
      <c r="K146" s="14" t="n">
        <f aca="false">ROUNDUP(H146/I146,0)</f>
        <v>34</v>
      </c>
      <c r="L146" s="15"/>
      <c r="M146" s="16"/>
      <c r="N146" s="17" t="str">
        <f aca="false">IF(M146="","",K146*M146)</f>
        <v/>
      </c>
    </row>
    <row r="147" customFormat="false" ht="23.85" hidden="false" customHeight="false" outlineLevel="0" collapsed="false">
      <c r="A147" s="7" t="n">
        <v>131</v>
      </c>
      <c r="B147" s="8" t="s">
        <v>295</v>
      </c>
      <c r="C147" s="7" t="s">
        <v>26</v>
      </c>
      <c r="D147" s="18" t="n">
        <v>3</v>
      </c>
      <c r="E147" s="10" t="s">
        <v>32</v>
      </c>
      <c r="F147" s="11" t="n">
        <v>1</v>
      </c>
      <c r="G147" s="12" t="n">
        <v>0</v>
      </c>
      <c r="H147" s="13" t="n">
        <f aca="false">D147*F147*(1+G147)</f>
        <v>3</v>
      </c>
      <c r="I147" s="11" t="n">
        <v>1</v>
      </c>
      <c r="J147" s="7" t="s">
        <v>26</v>
      </c>
      <c r="K147" s="14" t="n">
        <f aca="false">ROUNDUP(H147/I147,0)</f>
        <v>3</v>
      </c>
      <c r="L147" s="15"/>
      <c r="M147" s="16"/>
      <c r="N147" s="17" t="str">
        <f aca="false">IF(M147="","",K147*M147)</f>
        <v/>
      </c>
    </row>
    <row r="148" customFormat="false" ht="15" hidden="false" customHeight="false" outlineLevel="0" collapsed="false">
      <c r="A148" s="7" t="n">
        <v>132</v>
      </c>
      <c r="B148" s="8" t="s">
        <v>296</v>
      </c>
      <c r="C148" s="7" t="s">
        <v>26</v>
      </c>
      <c r="D148" s="18" t="n">
        <v>5</v>
      </c>
      <c r="E148" s="10" t="s">
        <v>32</v>
      </c>
      <c r="F148" s="11" t="n">
        <v>1</v>
      </c>
      <c r="G148" s="12" t="n">
        <v>0</v>
      </c>
      <c r="H148" s="13" t="n">
        <f aca="false">D148*F148*(1+G148)</f>
        <v>5</v>
      </c>
      <c r="I148" s="11" t="n">
        <v>1</v>
      </c>
      <c r="J148" s="7" t="s">
        <v>26</v>
      </c>
      <c r="K148" s="14" t="n">
        <f aca="false">ROUNDUP(H148/I148,0)</f>
        <v>5</v>
      </c>
      <c r="L148" s="15"/>
      <c r="M148" s="16"/>
      <c r="N148" s="17" t="str">
        <f aca="false">IF(M148="","",K148*M148)</f>
        <v/>
      </c>
    </row>
    <row r="149" customFormat="false" ht="15" hidden="false" customHeight="false" outlineLevel="0" collapsed="false">
      <c r="A149" s="7" t="n">
        <v>133</v>
      </c>
      <c r="B149" s="8" t="s">
        <v>297</v>
      </c>
      <c r="C149" s="7" t="s">
        <v>26</v>
      </c>
      <c r="D149" s="18" t="n">
        <v>6</v>
      </c>
      <c r="E149" s="10" t="s">
        <v>32</v>
      </c>
      <c r="F149" s="11" t="n">
        <v>1</v>
      </c>
      <c r="G149" s="12" t="n">
        <v>0</v>
      </c>
      <c r="H149" s="13" t="n">
        <f aca="false">D149*F149*(1+G149)</f>
        <v>6</v>
      </c>
      <c r="I149" s="11" t="n">
        <v>1</v>
      </c>
      <c r="J149" s="7" t="s">
        <v>26</v>
      </c>
      <c r="K149" s="14" t="n">
        <f aca="false">ROUNDUP(H149/I149,0)</f>
        <v>6</v>
      </c>
      <c r="L149" s="15"/>
      <c r="M149" s="16"/>
      <c r="N149" s="17" t="str">
        <f aca="false">IF(M149="","",K149*M149)</f>
        <v/>
      </c>
    </row>
    <row r="150" customFormat="false" ht="15" hidden="false" customHeight="false" outlineLevel="0" collapsed="false">
      <c r="A150" s="7" t="n">
        <v>134</v>
      </c>
      <c r="B150" s="8" t="s">
        <v>298</v>
      </c>
      <c r="C150" s="7" t="s">
        <v>299</v>
      </c>
      <c r="D150" s="18" t="n">
        <v>2</v>
      </c>
      <c r="E150" s="10" t="s">
        <v>32</v>
      </c>
      <c r="F150" s="11" t="n">
        <v>1</v>
      </c>
      <c r="G150" s="12" t="n">
        <v>0</v>
      </c>
      <c r="H150" s="13" t="n">
        <f aca="false">D150*F150*(1+G150)</f>
        <v>2</v>
      </c>
      <c r="I150" s="11" t="n">
        <v>1</v>
      </c>
      <c r="J150" s="7" t="s">
        <v>299</v>
      </c>
      <c r="K150" s="14" t="n">
        <f aca="false">ROUNDUP(H150/I150,0)</f>
        <v>2</v>
      </c>
      <c r="L150" s="15" t="s">
        <v>300</v>
      </c>
      <c r="M150" s="16"/>
      <c r="N150" s="17" t="str">
        <f aca="false">IF(M150="","",K150*M150)</f>
        <v/>
      </c>
    </row>
    <row r="151" customFormat="false" ht="23.85" hidden="false" customHeight="false" outlineLevel="0" collapsed="false">
      <c r="A151" s="7" t="n">
        <v>135</v>
      </c>
      <c r="B151" s="8" t="s">
        <v>301</v>
      </c>
      <c r="C151" s="7" t="s">
        <v>299</v>
      </c>
      <c r="D151" s="18" t="n">
        <v>1</v>
      </c>
      <c r="E151" s="10" t="s">
        <v>32</v>
      </c>
      <c r="F151" s="11" t="n">
        <v>1</v>
      </c>
      <c r="G151" s="12" t="n">
        <v>0</v>
      </c>
      <c r="H151" s="13" t="n">
        <f aca="false">D151*F151*(1+G151)</f>
        <v>1</v>
      </c>
      <c r="I151" s="11" t="n">
        <v>1</v>
      </c>
      <c r="J151" s="7" t="s">
        <v>299</v>
      </c>
      <c r="K151" s="14" t="n">
        <f aca="false">ROUNDUP(H151/I151,0)</f>
        <v>1</v>
      </c>
      <c r="L151" s="15" t="s">
        <v>302</v>
      </c>
      <c r="M151" s="16"/>
      <c r="N151" s="17" t="str">
        <f aca="false">IF(M151="","",K151*M151)</f>
        <v/>
      </c>
    </row>
    <row r="152" customFormat="false" ht="15" hidden="false" customHeight="false" outlineLevel="0" collapsed="false">
      <c r="A152" s="4"/>
      <c r="B152" s="5" t="s">
        <v>303</v>
      </c>
      <c r="C152" s="4"/>
      <c r="D152" s="4"/>
      <c r="E152" s="4"/>
      <c r="F152" s="4"/>
      <c r="G152" s="4"/>
      <c r="H152" s="4"/>
      <c r="I152" s="4"/>
      <c r="J152" s="4"/>
      <c r="K152" s="4"/>
      <c r="L152" s="6" t="s">
        <v>304</v>
      </c>
      <c r="M152" s="4"/>
      <c r="N152" s="4"/>
    </row>
    <row r="153" customFormat="false" ht="15" hidden="false" customHeight="false" outlineLevel="0" collapsed="false">
      <c r="A153" s="7" t="n">
        <v>136</v>
      </c>
      <c r="B153" s="8" t="s">
        <v>305</v>
      </c>
      <c r="C153" s="7" t="s">
        <v>26</v>
      </c>
      <c r="D153" s="18" t="n">
        <v>1</v>
      </c>
      <c r="E153" s="10" t="s">
        <v>32</v>
      </c>
      <c r="F153" s="11" t="n">
        <v>1</v>
      </c>
      <c r="G153" s="12" t="n">
        <v>0</v>
      </c>
      <c r="H153" s="13" t="n">
        <f aca="false">D153*F153*(1+G153)</f>
        <v>1</v>
      </c>
      <c r="I153" s="11" t="n">
        <v>1</v>
      </c>
      <c r="J153" s="7" t="s">
        <v>26</v>
      </c>
      <c r="K153" s="14" t="n">
        <f aca="false">ROUNDUP(H153/I153,0)</f>
        <v>1</v>
      </c>
      <c r="L153" s="15" t="s">
        <v>306</v>
      </c>
      <c r="M153" s="16"/>
      <c r="N153" s="17" t="str">
        <f aca="false">IF(M153="","",K153*M153)</f>
        <v/>
      </c>
    </row>
    <row r="154" customFormat="false" ht="15" hidden="false" customHeight="false" outlineLevel="0" collapsed="false">
      <c r="A154" s="7" t="n">
        <v>137</v>
      </c>
      <c r="B154" s="8" t="s">
        <v>307</v>
      </c>
      <c r="C154" s="7" t="s">
        <v>26</v>
      </c>
      <c r="D154" s="18" t="n">
        <v>1</v>
      </c>
      <c r="E154" s="10" t="s">
        <v>32</v>
      </c>
      <c r="F154" s="11" t="n">
        <v>1</v>
      </c>
      <c r="G154" s="12" t="n">
        <v>0</v>
      </c>
      <c r="H154" s="13" t="n">
        <f aca="false">D154*F154*(1+G154)</f>
        <v>1</v>
      </c>
      <c r="I154" s="11" t="n">
        <v>1</v>
      </c>
      <c r="J154" s="7" t="s">
        <v>26</v>
      </c>
      <c r="K154" s="14" t="n">
        <f aca="false">ROUNDUP(H154/I154,0)</f>
        <v>1</v>
      </c>
      <c r="L154" s="15"/>
      <c r="M154" s="16"/>
      <c r="N154" s="17" t="str">
        <f aca="false">IF(M154="","",K154*M154)</f>
        <v/>
      </c>
    </row>
    <row r="155" customFormat="false" ht="15" hidden="false" customHeight="false" outlineLevel="0" collapsed="false">
      <c r="A155" s="7" t="n">
        <v>138</v>
      </c>
      <c r="B155" s="8" t="s">
        <v>308</v>
      </c>
      <c r="C155" s="7" t="s">
        <v>26</v>
      </c>
      <c r="D155" s="18" t="n">
        <v>1</v>
      </c>
      <c r="E155" s="10" t="s">
        <v>32</v>
      </c>
      <c r="F155" s="11" t="n">
        <v>1</v>
      </c>
      <c r="G155" s="12" t="n">
        <v>0</v>
      </c>
      <c r="H155" s="13" t="n">
        <f aca="false">D155*F155*(1+G155)</f>
        <v>1</v>
      </c>
      <c r="I155" s="11" t="n">
        <v>1</v>
      </c>
      <c r="J155" s="7" t="s">
        <v>26</v>
      </c>
      <c r="K155" s="14" t="n">
        <f aca="false">ROUNDUP(H155/I155,0)</f>
        <v>1</v>
      </c>
      <c r="L155" s="15"/>
      <c r="M155" s="16"/>
      <c r="N155" s="17" t="str">
        <f aca="false">IF(M155="","",K155*M155)</f>
        <v/>
      </c>
    </row>
    <row r="156" customFormat="false" ht="15" hidden="false" customHeight="false" outlineLevel="0" collapsed="false">
      <c r="A156" s="7" t="n">
        <v>139</v>
      </c>
      <c r="B156" s="8" t="s">
        <v>309</v>
      </c>
      <c r="C156" s="7" t="s">
        <v>26</v>
      </c>
      <c r="D156" s="18" t="n">
        <v>1</v>
      </c>
      <c r="E156" s="10" t="s">
        <v>32</v>
      </c>
      <c r="F156" s="11" t="n">
        <v>1</v>
      </c>
      <c r="G156" s="12" t="n">
        <v>0</v>
      </c>
      <c r="H156" s="13" t="n">
        <f aca="false">D156*F156*(1+G156)</f>
        <v>1</v>
      </c>
      <c r="I156" s="11" t="n">
        <v>1</v>
      </c>
      <c r="J156" s="7" t="s">
        <v>26</v>
      </c>
      <c r="K156" s="14" t="n">
        <f aca="false">ROUNDUP(H156/I156,0)</f>
        <v>1</v>
      </c>
      <c r="L156" s="15"/>
      <c r="M156" s="16"/>
      <c r="N156" s="17" t="str">
        <f aca="false">IF(M156="","",K156*M156)</f>
        <v/>
      </c>
    </row>
    <row r="157" customFormat="false" ht="15" hidden="false" customHeight="false" outlineLevel="0" collapsed="false">
      <c r="A157" s="7" t="n">
        <v>140</v>
      </c>
      <c r="B157" s="8" t="s">
        <v>310</v>
      </c>
      <c r="C157" s="7" t="s">
        <v>26</v>
      </c>
      <c r="D157" s="18" t="n">
        <v>1</v>
      </c>
      <c r="E157" s="10" t="s">
        <v>32</v>
      </c>
      <c r="F157" s="11" t="n">
        <v>1</v>
      </c>
      <c r="G157" s="12" t="n">
        <v>0</v>
      </c>
      <c r="H157" s="13" t="n">
        <f aca="false">D157*F157*(1+G157)</f>
        <v>1</v>
      </c>
      <c r="I157" s="11" t="n">
        <v>1</v>
      </c>
      <c r="J157" s="7" t="s">
        <v>26</v>
      </c>
      <c r="K157" s="14" t="n">
        <f aca="false">ROUNDUP(H157/I157,0)</f>
        <v>1</v>
      </c>
      <c r="L157" s="15"/>
      <c r="M157" s="16"/>
      <c r="N157" s="17" t="str">
        <f aca="false">IF(M157="","",K157*M157)</f>
        <v/>
      </c>
    </row>
    <row r="158" customFormat="false" ht="15" hidden="false" customHeight="false" outlineLevel="0" collapsed="false">
      <c r="A158" s="7" t="n">
        <v>141</v>
      </c>
      <c r="B158" s="8" t="s">
        <v>311</v>
      </c>
      <c r="C158" s="7" t="s">
        <v>299</v>
      </c>
      <c r="D158" s="18" t="n">
        <v>1</v>
      </c>
      <c r="E158" s="10" t="s">
        <v>32</v>
      </c>
      <c r="F158" s="11" t="n">
        <v>1</v>
      </c>
      <c r="G158" s="12" t="n">
        <v>0</v>
      </c>
      <c r="H158" s="13" t="n">
        <f aca="false">D158*F158*(1+G158)</f>
        <v>1</v>
      </c>
      <c r="I158" s="11" t="n">
        <v>1</v>
      </c>
      <c r="J158" s="7" t="s">
        <v>299</v>
      </c>
      <c r="K158" s="14" t="n">
        <f aca="false">ROUNDUP(H158/I158,0)</f>
        <v>1</v>
      </c>
      <c r="L158" s="15"/>
      <c r="M158" s="16"/>
      <c r="N158" s="17" t="str">
        <f aca="false">IF(M158="","",K158*M158)</f>
        <v/>
      </c>
    </row>
    <row r="159" customFormat="false" ht="15" hidden="false" customHeight="false" outlineLevel="0" collapsed="false">
      <c r="A159" s="7" t="n">
        <v>142</v>
      </c>
      <c r="B159" s="8" t="s">
        <v>312</v>
      </c>
      <c r="C159" s="7" t="s">
        <v>26</v>
      </c>
      <c r="D159" s="18" t="n">
        <v>1</v>
      </c>
      <c r="E159" s="10" t="s">
        <v>32</v>
      </c>
      <c r="F159" s="11" t="n">
        <v>1</v>
      </c>
      <c r="G159" s="12" t="n">
        <v>0</v>
      </c>
      <c r="H159" s="13" t="n">
        <f aca="false">D159*F159*(1+G159)</f>
        <v>1</v>
      </c>
      <c r="I159" s="11" t="n">
        <v>1</v>
      </c>
      <c r="J159" s="7" t="s">
        <v>26</v>
      </c>
      <c r="K159" s="14" t="n">
        <f aca="false">ROUNDUP(H159/I159,0)</f>
        <v>1</v>
      </c>
      <c r="L159" s="15"/>
      <c r="M159" s="16"/>
      <c r="N159" s="17" t="str">
        <f aca="false">IF(M159="","",K159*M159)</f>
        <v/>
      </c>
    </row>
    <row r="160" customFormat="false" ht="15" hidden="false" customHeight="false" outlineLevel="0" collapsed="false">
      <c r="A160" s="7" t="n">
        <v>143</v>
      </c>
      <c r="B160" s="8" t="s">
        <v>313</v>
      </c>
      <c r="C160" s="7" t="s">
        <v>26</v>
      </c>
      <c r="D160" s="18" t="n">
        <v>1</v>
      </c>
      <c r="E160" s="10" t="s">
        <v>32</v>
      </c>
      <c r="F160" s="11" t="n">
        <v>1</v>
      </c>
      <c r="G160" s="12" t="n">
        <v>0</v>
      </c>
      <c r="H160" s="13" t="n">
        <f aca="false">D160*F160*(1+G160)</f>
        <v>1</v>
      </c>
      <c r="I160" s="11" t="n">
        <v>1</v>
      </c>
      <c r="J160" s="7" t="s">
        <v>26</v>
      </c>
      <c r="K160" s="14" t="n">
        <f aca="false">ROUNDUP(H160/I160,0)</f>
        <v>1</v>
      </c>
      <c r="L160" s="15"/>
      <c r="M160" s="16"/>
      <c r="N160" s="17" t="str">
        <f aca="false">IF(M160="","",K160*M160)</f>
        <v/>
      </c>
    </row>
    <row r="161" customFormat="false" ht="15" hidden="false" customHeight="false" outlineLevel="0" collapsed="false">
      <c r="A161" s="7" t="n">
        <v>144</v>
      </c>
      <c r="B161" s="8" t="s">
        <v>314</v>
      </c>
      <c r="C161" s="7" t="s">
        <v>299</v>
      </c>
      <c r="D161" s="18" t="n">
        <v>1</v>
      </c>
      <c r="E161" s="10" t="s">
        <v>32</v>
      </c>
      <c r="F161" s="11" t="n">
        <v>1</v>
      </c>
      <c r="G161" s="12" t="n">
        <v>0</v>
      </c>
      <c r="H161" s="13" t="n">
        <f aca="false">D161*F161*(1+G161)</f>
        <v>1</v>
      </c>
      <c r="I161" s="11" t="n">
        <v>1</v>
      </c>
      <c r="J161" s="7" t="s">
        <v>299</v>
      </c>
      <c r="K161" s="14" t="n">
        <f aca="false">ROUNDUP(H161/I161,0)</f>
        <v>1</v>
      </c>
      <c r="L161" s="15"/>
      <c r="M161" s="16"/>
      <c r="N161" s="17" t="str">
        <f aca="false">IF(M161="","",K161*M161)</f>
        <v/>
      </c>
    </row>
    <row r="162" customFormat="false" ht="15" hidden="false" customHeight="false" outlineLevel="0" collapsed="false">
      <c r="A162" s="4"/>
      <c r="B162" s="5" t="s">
        <v>315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customFormat="false" ht="15" hidden="false" customHeight="false" outlineLevel="0" collapsed="false">
      <c r="A163" s="7" t="n">
        <v>145</v>
      </c>
      <c r="B163" s="8" t="s">
        <v>316</v>
      </c>
      <c r="C163" s="7" t="s">
        <v>26</v>
      </c>
      <c r="D163" s="18" t="n">
        <v>1</v>
      </c>
      <c r="E163" s="10" t="s">
        <v>32</v>
      </c>
      <c r="F163" s="11" t="n">
        <v>1</v>
      </c>
      <c r="G163" s="12" t="n">
        <v>0</v>
      </c>
      <c r="H163" s="13" t="n">
        <f aca="false">D163*F163*(1+G163)</f>
        <v>1</v>
      </c>
      <c r="I163" s="11" t="n">
        <v>1</v>
      </c>
      <c r="J163" s="7" t="s">
        <v>26</v>
      </c>
      <c r="K163" s="14" t="n">
        <f aca="false">ROUNDUP(H163/I163,0)</f>
        <v>1</v>
      </c>
      <c r="L163" s="15" t="s">
        <v>317</v>
      </c>
      <c r="M163" s="16"/>
      <c r="N163" s="17" t="str">
        <f aca="false">IF(M163="","",K163*M163)</f>
        <v/>
      </c>
    </row>
    <row r="164" customFormat="false" ht="15" hidden="false" customHeight="false" outlineLevel="0" collapsed="false">
      <c r="A164" s="7" t="n">
        <v>146</v>
      </c>
      <c r="B164" s="8" t="s">
        <v>318</v>
      </c>
      <c r="C164" s="7" t="s">
        <v>26</v>
      </c>
      <c r="D164" s="18" t="n">
        <v>1</v>
      </c>
      <c r="E164" s="10" t="s">
        <v>32</v>
      </c>
      <c r="F164" s="11" t="n">
        <v>1</v>
      </c>
      <c r="G164" s="12" t="n">
        <v>0</v>
      </c>
      <c r="H164" s="13" t="n">
        <f aca="false">D164*F164*(1+G164)</f>
        <v>1</v>
      </c>
      <c r="I164" s="11" t="n">
        <v>1</v>
      </c>
      <c r="J164" s="7" t="s">
        <v>26</v>
      </c>
      <c r="K164" s="14" t="n">
        <f aca="false">ROUNDUP(H164/I164,0)</f>
        <v>1</v>
      </c>
      <c r="L164" s="15" t="s">
        <v>319</v>
      </c>
      <c r="M164" s="16"/>
      <c r="N164" s="17" t="str">
        <f aca="false">IF(M164="","",K164*M164)</f>
        <v/>
      </c>
    </row>
    <row r="165" customFormat="false" ht="15" hidden="false" customHeight="false" outlineLevel="0" collapsed="false">
      <c r="A165" s="7" t="n">
        <v>147</v>
      </c>
      <c r="B165" s="8" t="s">
        <v>320</v>
      </c>
      <c r="C165" s="7" t="s">
        <v>26</v>
      </c>
      <c r="D165" s="18" t="n">
        <v>2</v>
      </c>
      <c r="E165" s="10" t="s">
        <v>32</v>
      </c>
      <c r="F165" s="11" t="n">
        <v>3</v>
      </c>
      <c r="G165" s="12" t="n">
        <v>0</v>
      </c>
      <c r="H165" s="13" t="n">
        <f aca="false">D165*F165*(1+G165)</f>
        <v>6</v>
      </c>
      <c r="I165" s="11" t="n">
        <v>1</v>
      </c>
      <c r="J165" s="7" t="s">
        <v>26</v>
      </c>
      <c r="K165" s="14" t="n">
        <f aca="false">ROUNDUP(H165/I165,0)</f>
        <v>6</v>
      </c>
      <c r="L165" s="15" t="s">
        <v>321</v>
      </c>
      <c r="M165" s="16"/>
      <c r="N165" s="17" t="str">
        <f aca="false">IF(M165="","",K165*M165)</f>
        <v/>
      </c>
    </row>
    <row r="166" customFormat="false" ht="15" hidden="false" customHeight="false" outlineLevel="0" collapsed="false">
      <c r="A166" s="7" t="n">
        <v>148</v>
      </c>
      <c r="B166" s="8" t="s">
        <v>322</v>
      </c>
      <c r="C166" s="7" t="s">
        <v>26</v>
      </c>
      <c r="D166" s="18" t="n">
        <v>2</v>
      </c>
      <c r="E166" s="10" t="s">
        <v>32</v>
      </c>
      <c r="F166" s="11" t="n">
        <v>1</v>
      </c>
      <c r="G166" s="12" t="n">
        <v>0</v>
      </c>
      <c r="H166" s="13" t="n">
        <f aca="false">D166*F166*(1+G166)</f>
        <v>2</v>
      </c>
      <c r="I166" s="11" t="n">
        <v>1</v>
      </c>
      <c r="J166" s="7" t="s">
        <v>26</v>
      </c>
      <c r="K166" s="14" t="n">
        <f aca="false">ROUNDUP(H166/I166,0)</f>
        <v>2</v>
      </c>
      <c r="L166" s="15"/>
      <c r="M166" s="16"/>
      <c r="N166" s="17" t="str">
        <f aca="false">IF(M166="","",K166*M166)</f>
        <v/>
      </c>
    </row>
    <row r="167" customFormat="false" ht="15" hidden="false" customHeight="false" outlineLevel="0" collapsed="false">
      <c r="A167" s="7" t="n">
        <v>149</v>
      </c>
      <c r="B167" s="8" t="s">
        <v>323</v>
      </c>
      <c r="C167" s="7" t="s">
        <v>299</v>
      </c>
      <c r="D167" s="18" t="n">
        <v>2</v>
      </c>
      <c r="E167" s="10" t="s">
        <v>32</v>
      </c>
      <c r="F167" s="11" t="n">
        <v>1</v>
      </c>
      <c r="G167" s="12" t="n">
        <v>0</v>
      </c>
      <c r="H167" s="13" t="n">
        <f aca="false">D167*F167*(1+G167)</f>
        <v>2</v>
      </c>
      <c r="I167" s="11" t="n">
        <v>1</v>
      </c>
      <c r="J167" s="7" t="s">
        <v>299</v>
      </c>
      <c r="K167" s="14" t="n">
        <f aca="false">ROUNDUP(H167/I167,0)</f>
        <v>2</v>
      </c>
      <c r="L167" s="15"/>
      <c r="M167" s="16"/>
      <c r="N167" s="17" t="str">
        <f aca="false">IF(M167="","",K167*M167)</f>
        <v/>
      </c>
    </row>
    <row r="168" customFormat="false" ht="15" hidden="false" customHeight="false" outlineLevel="0" collapsed="false">
      <c r="A168" s="7" t="n">
        <v>150</v>
      </c>
      <c r="B168" s="8" t="s">
        <v>324</v>
      </c>
      <c r="C168" s="7" t="s">
        <v>26</v>
      </c>
      <c r="D168" s="18" t="n">
        <v>1</v>
      </c>
      <c r="E168" s="10" t="s">
        <v>32</v>
      </c>
      <c r="F168" s="11" t="n">
        <v>1</v>
      </c>
      <c r="G168" s="12" t="n">
        <v>0</v>
      </c>
      <c r="H168" s="13" t="n">
        <f aca="false">D168*F168*(1+G168)</f>
        <v>1</v>
      </c>
      <c r="I168" s="11" t="n">
        <v>1</v>
      </c>
      <c r="J168" s="7" t="s">
        <v>26</v>
      </c>
      <c r="K168" s="14" t="n">
        <f aca="false">ROUNDUP(H168/I168,0)</f>
        <v>1</v>
      </c>
      <c r="L168" s="15" t="s">
        <v>222</v>
      </c>
      <c r="M168" s="16"/>
      <c r="N168" s="17" t="str">
        <f aca="false">IF(M168="","",K168*M168)</f>
        <v/>
      </c>
    </row>
    <row r="169" customFormat="false" ht="15" hidden="false" customHeight="false" outlineLevel="0" collapsed="false">
      <c r="A169" s="7" t="n">
        <v>151</v>
      </c>
      <c r="B169" s="8" t="s">
        <v>325</v>
      </c>
      <c r="C169" s="7" t="s">
        <v>26</v>
      </c>
      <c r="D169" s="18" t="n">
        <v>2</v>
      </c>
      <c r="E169" s="10" t="s">
        <v>32</v>
      </c>
      <c r="F169" s="11" t="n">
        <v>1</v>
      </c>
      <c r="G169" s="12" t="n">
        <v>0</v>
      </c>
      <c r="H169" s="13" t="n">
        <f aca="false">D169*F169*(1+G169)</f>
        <v>2</v>
      </c>
      <c r="I169" s="11" t="n">
        <v>1</v>
      </c>
      <c r="J169" s="7" t="s">
        <v>26</v>
      </c>
      <c r="K169" s="14" t="n">
        <f aca="false">ROUNDUP(H169/I169,0)</f>
        <v>2</v>
      </c>
      <c r="L169" s="15"/>
      <c r="M169" s="16"/>
      <c r="N169" s="17" t="str">
        <f aca="false">IF(M169="","",K169*M169)</f>
        <v/>
      </c>
    </row>
    <row r="170" customFormat="false" ht="22.35" hidden="false" customHeight="false" outlineLevel="0" collapsed="false">
      <c r="A170" s="7" t="n">
        <v>152</v>
      </c>
      <c r="B170" s="8" t="s">
        <v>326</v>
      </c>
      <c r="C170" s="7" t="s">
        <v>24</v>
      </c>
      <c r="D170" s="9" t="n">
        <f aca="false">Объёмы!C70</f>
        <v>32.4</v>
      </c>
      <c r="E170" s="10" t="s">
        <v>327</v>
      </c>
      <c r="F170" s="11" t="n">
        <v>1</v>
      </c>
      <c r="G170" s="12" t="n">
        <v>0.1</v>
      </c>
      <c r="H170" s="13" t="n">
        <f aca="false">D170*F170*(1+G170)</f>
        <v>35.64</v>
      </c>
      <c r="I170" s="11" t="n">
        <v>2.4</v>
      </c>
      <c r="J170" s="7" t="s">
        <v>26</v>
      </c>
      <c r="K170" s="14" t="n">
        <f aca="false">ROUNDUP(H170/I170,0)</f>
        <v>15</v>
      </c>
      <c r="L170" s="15"/>
      <c r="M170" s="16"/>
      <c r="N170" s="17" t="str">
        <f aca="false">IF(M170="","",K170*M170)</f>
        <v/>
      </c>
    </row>
    <row r="171" customFormat="false" ht="15" hidden="false" customHeight="false" outlineLevel="0" collapsed="false">
      <c r="A171" s="7" t="n">
        <v>153</v>
      </c>
      <c r="B171" s="8" t="s">
        <v>328</v>
      </c>
      <c r="C171" s="7" t="s">
        <v>26</v>
      </c>
      <c r="D171" s="9" t="n">
        <f aca="false">Объёмы!C71</f>
        <v>9</v>
      </c>
      <c r="E171" s="10" t="s">
        <v>329</v>
      </c>
      <c r="F171" s="11" t="n">
        <v>1</v>
      </c>
      <c r="G171" s="12" t="n">
        <v>0</v>
      </c>
      <c r="H171" s="13" t="n">
        <f aca="false">D171*F171*(1+G171)</f>
        <v>9</v>
      </c>
      <c r="I171" s="11" t="n">
        <v>1</v>
      </c>
      <c r="J171" s="7" t="s">
        <v>26</v>
      </c>
      <c r="K171" s="14" t="n">
        <f aca="false">ROUNDUP(H171/I171,0)</f>
        <v>9</v>
      </c>
      <c r="L171" s="15"/>
      <c r="M171" s="16"/>
      <c r="N171" s="17" t="str">
        <f aca="false">IF(M171="","",K171*M171)</f>
        <v/>
      </c>
    </row>
    <row r="172" customFormat="false" ht="15" hidden="false" customHeight="false" outlineLevel="0" collapsed="false">
      <c r="A172" s="7" t="n">
        <v>154</v>
      </c>
      <c r="B172" s="8" t="s">
        <v>330</v>
      </c>
      <c r="C172" s="7" t="s">
        <v>26</v>
      </c>
      <c r="D172" s="9" t="n">
        <f aca="false">Объёмы!C72</f>
        <v>20</v>
      </c>
      <c r="E172" s="10" t="s">
        <v>331</v>
      </c>
      <c r="F172" s="11" t="n">
        <v>1</v>
      </c>
      <c r="G172" s="12" t="n">
        <v>0</v>
      </c>
      <c r="H172" s="13" t="n">
        <f aca="false">D172*F172*(1+G172)</f>
        <v>20</v>
      </c>
      <c r="I172" s="11" t="n">
        <v>1</v>
      </c>
      <c r="J172" s="7" t="s">
        <v>26</v>
      </c>
      <c r="K172" s="14" t="n">
        <f aca="false">ROUNDUP(H172/I172,0)</f>
        <v>20</v>
      </c>
      <c r="L172" s="15"/>
      <c r="M172" s="16"/>
      <c r="N172" s="17" t="str">
        <f aca="false">IF(M172="","",K172*M172)</f>
        <v/>
      </c>
    </row>
    <row r="173" customFormat="false" ht="22.35" hidden="false" customHeight="false" outlineLevel="0" collapsed="false">
      <c r="A173" s="7" t="n">
        <v>155</v>
      </c>
      <c r="B173" s="8" t="s">
        <v>332</v>
      </c>
      <c r="C173" s="7" t="s">
        <v>26</v>
      </c>
      <c r="D173" s="9" t="n">
        <f aca="false">Объёмы!C70</f>
        <v>32.4</v>
      </c>
      <c r="E173" s="10" t="s">
        <v>327</v>
      </c>
      <c r="F173" s="11" t="n">
        <v>0.166666666666667</v>
      </c>
      <c r="G173" s="12" t="n">
        <v>0.1</v>
      </c>
      <c r="H173" s="13" t="n">
        <f aca="false">D173*F173*(1+G173)</f>
        <v>5.94</v>
      </c>
      <c r="I173" s="11" t="n">
        <v>1</v>
      </c>
      <c r="J173" s="7" t="s">
        <v>98</v>
      </c>
      <c r="K173" s="14" t="n">
        <f aca="false">ROUNDUP(H173/I173,0)</f>
        <v>6</v>
      </c>
      <c r="L173" s="15" t="s">
        <v>333</v>
      </c>
      <c r="M173" s="16"/>
      <c r="N173" s="17" t="str">
        <f aca="false">IF(M173="","",K173*M173)</f>
        <v/>
      </c>
    </row>
    <row r="174" customFormat="false" ht="15" hidden="false" customHeight="false" outlineLevel="0" collapsed="false">
      <c r="A174" s="7" t="n">
        <v>156</v>
      </c>
      <c r="B174" s="8" t="s">
        <v>334</v>
      </c>
      <c r="C174" s="7" t="s">
        <v>26</v>
      </c>
      <c r="D174" s="18" t="n">
        <v>3</v>
      </c>
      <c r="E174" s="10" t="s">
        <v>32</v>
      </c>
      <c r="F174" s="11" t="n">
        <v>1</v>
      </c>
      <c r="G174" s="12" t="n">
        <v>0</v>
      </c>
      <c r="H174" s="13" t="n">
        <f aca="false">D174*F174*(1+G174)</f>
        <v>3</v>
      </c>
      <c r="I174" s="11" t="n">
        <v>1</v>
      </c>
      <c r="J174" s="7" t="s">
        <v>335</v>
      </c>
      <c r="K174" s="14" t="n">
        <f aca="false">ROUNDUP(H174/I174,0)</f>
        <v>3</v>
      </c>
      <c r="L174" s="15"/>
      <c r="M174" s="16"/>
      <c r="N174" s="17" t="str">
        <f aca="false">IF(M174="","",K174*M174)</f>
        <v/>
      </c>
    </row>
    <row r="175" customFormat="false" ht="15" hidden="false" customHeight="false" outlineLevel="0" collapsed="false">
      <c r="A175" s="4"/>
      <c r="B175" s="5" t="s">
        <v>336</v>
      </c>
      <c r="C175" s="4"/>
      <c r="D175" s="4"/>
      <c r="E175" s="4"/>
      <c r="F175" s="4"/>
      <c r="G175" s="4"/>
      <c r="H175" s="4"/>
      <c r="I175" s="4"/>
      <c r="J175" s="4"/>
      <c r="K175" s="4"/>
      <c r="L175" s="6" t="s">
        <v>337</v>
      </c>
      <c r="M175" s="4"/>
      <c r="N175" s="4"/>
    </row>
    <row r="176" customFormat="false" ht="15" hidden="false" customHeight="false" outlineLevel="0" collapsed="false">
      <c r="A176" s="7" t="n">
        <v>157</v>
      </c>
      <c r="B176" s="8" t="s">
        <v>338</v>
      </c>
      <c r="C176" s="7" t="s">
        <v>26</v>
      </c>
      <c r="D176" s="18" t="n">
        <v>20</v>
      </c>
      <c r="E176" s="10" t="s">
        <v>32</v>
      </c>
      <c r="F176" s="11" t="n">
        <v>1</v>
      </c>
      <c r="G176" s="12" t="n">
        <v>0</v>
      </c>
      <c r="H176" s="13" t="n">
        <f aca="false">D176*F176*(1+G176)</f>
        <v>20</v>
      </c>
      <c r="I176" s="11" t="n">
        <v>1</v>
      </c>
      <c r="J176" s="7" t="s">
        <v>26</v>
      </c>
      <c r="K176" s="14" t="n">
        <f aca="false">ROUNDUP(H176/I176,0)</f>
        <v>20</v>
      </c>
      <c r="L176" s="15"/>
      <c r="M176" s="16"/>
      <c r="N176" s="17" t="str">
        <f aca="false">IF(M176="","",K176*M176)</f>
        <v/>
      </c>
    </row>
    <row r="177" customFormat="false" ht="15" hidden="false" customHeight="false" outlineLevel="0" collapsed="false">
      <c r="A177" s="7" t="n">
        <v>158</v>
      </c>
      <c r="B177" s="8" t="s">
        <v>339</v>
      </c>
      <c r="C177" s="7" t="s">
        <v>26</v>
      </c>
      <c r="D177" s="18" t="n">
        <v>10</v>
      </c>
      <c r="E177" s="10" t="s">
        <v>32</v>
      </c>
      <c r="F177" s="11" t="n">
        <v>1</v>
      </c>
      <c r="G177" s="12" t="n">
        <v>0</v>
      </c>
      <c r="H177" s="13" t="n">
        <f aca="false">D177*F177*(1+G177)</f>
        <v>10</v>
      </c>
      <c r="I177" s="11" t="n">
        <v>1</v>
      </c>
      <c r="J177" s="7" t="s">
        <v>26</v>
      </c>
      <c r="K177" s="14" t="n">
        <f aca="false">ROUNDUP(H177/I177,0)</f>
        <v>10</v>
      </c>
      <c r="L177" s="15"/>
      <c r="M177" s="16"/>
      <c r="N177" s="17" t="str">
        <f aca="false">IF(M177="","",K177*M177)</f>
        <v/>
      </c>
    </row>
    <row r="178" customFormat="false" ht="15" hidden="false" customHeight="false" outlineLevel="0" collapsed="false">
      <c r="A178" s="7" t="n">
        <v>159</v>
      </c>
      <c r="B178" s="8" t="s">
        <v>340</v>
      </c>
      <c r="C178" s="7" t="s">
        <v>26</v>
      </c>
      <c r="D178" s="18" t="n">
        <v>3</v>
      </c>
      <c r="E178" s="10" t="s">
        <v>32</v>
      </c>
      <c r="F178" s="11" t="n">
        <v>1</v>
      </c>
      <c r="G178" s="12" t="n">
        <v>0</v>
      </c>
      <c r="H178" s="13" t="n">
        <f aca="false">D178*F178*(1+G178)</f>
        <v>3</v>
      </c>
      <c r="I178" s="11" t="n">
        <v>1</v>
      </c>
      <c r="J178" s="7" t="s">
        <v>26</v>
      </c>
      <c r="K178" s="14" t="n">
        <f aca="false">ROUNDUP(H178/I178,0)</f>
        <v>3</v>
      </c>
      <c r="L178" s="15" t="s">
        <v>341</v>
      </c>
      <c r="M178" s="16"/>
      <c r="N178" s="17" t="str">
        <f aca="false">IF(M178="","",K178*M178)</f>
        <v/>
      </c>
    </row>
    <row r="179" customFormat="false" ht="15" hidden="false" customHeight="false" outlineLevel="0" collapsed="false">
      <c r="A179" s="7" t="n">
        <v>160</v>
      </c>
      <c r="B179" s="8" t="s">
        <v>342</v>
      </c>
      <c r="C179" s="7" t="s">
        <v>26</v>
      </c>
      <c r="D179" s="18" t="n">
        <v>2</v>
      </c>
      <c r="E179" s="10" t="s">
        <v>32</v>
      </c>
      <c r="F179" s="11" t="n">
        <v>1</v>
      </c>
      <c r="G179" s="12" t="n">
        <v>0</v>
      </c>
      <c r="H179" s="13" t="n">
        <f aca="false">D179*F179*(1+G179)</f>
        <v>2</v>
      </c>
      <c r="I179" s="11" t="n">
        <v>1</v>
      </c>
      <c r="J179" s="7" t="s">
        <v>26</v>
      </c>
      <c r="K179" s="14" t="n">
        <f aca="false">ROUNDUP(H179/I179,0)</f>
        <v>2</v>
      </c>
      <c r="L179" s="15"/>
      <c r="M179" s="16"/>
      <c r="N179" s="17" t="str">
        <f aca="false">IF(M179="","",K179*M179)</f>
        <v/>
      </c>
    </row>
    <row r="180" customFormat="false" ht="15" hidden="false" customHeight="false" outlineLevel="0" collapsed="false">
      <c r="A180" s="7" t="n">
        <v>161</v>
      </c>
      <c r="B180" s="8" t="s">
        <v>343</v>
      </c>
      <c r="C180" s="7" t="s">
        <v>26</v>
      </c>
      <c r="D180" s="18" t="n">
        <v>1</v>
      </c>
      <c r="E180" s="10" t="s">
        <v>32</v>
      </c>
      <c r="F180" s="11" t="n">
        <v>1</v>
      </c>
      <c r="G180" s="12" t="n">
        <v>0</v>
      </c>
      <c r="H180" s="13" t="n">
        <f aca="false">D180*F180*(1+G180)</f>
        <v>1</v>
      </c>
      <c r="I180" s="11" t="n">
        <v>1</v>
      </c>
      <c r="J180" s="7" t="s">
        <v>26</v>
      </c>
      <c r="K180" s="14" t="n">
        <f aca="false">ROUNDUP(H180/I180,0)</f>
        <v>1</v>
      </c>
      <c r="L180" s="15"/>
      <c r="M180" s="16"/>
      <c r="N180" s="17" t="str">
        <f aca="false">IF(M180="","",K180*M180)</f>
        <v/>
      </c>
    </row>
    <row r="181" customFormat="false" ht="15" hidden="false" customHeight="false" outlineLevel="0" collapsed="false">
      <c r="A181" s="7" t="n">
        <v>162</v>
      </c>
      <c r="B181" s="8" t="s">
        <v>344</v>
      </c>
      <c r="C181" s="7" t="s">
        <v>26</v>
      </c>
      <c r="D181" s="18" t="n">
        <v>1</v>
      </c>
      <c r="E181" s="10" t="s">
        <v>32</v>
      </c>
      <c r="F181" s="11" t="n">
        <v>1</v>
      </c>
      <c r="G181" s="12" t="n">
        <v>0</v>
      </c>
      <c r="H181" s="13" t="n">
        <f aca="false">D181*F181*(1+G181)</f>
        <v>1</v>
      </c>
      <c r="I181" s="11" t="n">
        <v>1</v>
      </c>
      <c r="J181" s="7" t="s">
        <v>26</v>
      </c>
      <c r="K181" s="14" t="n">
        <f aca="false">ROUNDUP(H181/I181,0)</f>
        <v>1</v>
      </c>
      <c r="L181" s="15" t="s">
        <v>345</v>
      </c>
      <c r="M181" s="16"/>
      <c r="N181" s="17" t="str">
        <f aca="false">IF(M181="","",K181*M181)</f>
        <v/>
      </c>
    </row>
    <row r="182" customFormat="false" ht="15" hidden="false" customHeight="false" outlineLevel="0" collapsed="false">
      <c r="A182" s="7" t="n">
        <v>163</v>
      </c>
      <c r="B182" s="8" t="s">
        <v>346</v>
      </c>
      <c r="C182" s="7" t="s">
        <v>26</v>
      </c>
      <c r="D182" s="18" t="n">
        <v>1</v>
      </c>
      <c r="E182" s="10" t="s">
        <v>32</v>
      </c>
      <c r="F182" s="11" t="n">
        <v>1</v>
      </c>
      <c r="G182" s="12" t="n">
        <v>0</v>
      </c>
      <c r="H182" s="13" t="n">
        <f aca="false">D182*F182*(1+G182)</f>
        <v>1</v>
      </c>
      <c r="I182" s="11" t="n">
        <v>1</v>
      </c>
      <c r="J182" s="7" t="s">
        <v>26</v>
      </c>
      <c r="K182" s="14" t="n">
        <f aca="false">ROUNDUP(H182/I182,0)</f>
        <v>1</v>
      </c>
      <c r="L182" s="15"/>
      <c r="M182" s="16"/>
      <c r="N182" s="17" t="str">
        <f aca="false">IF(M182="","",K182*M182)</f>
        <v/>
      </c>
    </row>
    <row r="183" customFormat="false" ht="15" hidden="false" customHeight="false" outlineLevel="0" collapsed="false">
      <c r="A183" s="7" t="n">
        <v>164</v>
      </c>
      <c r="B183" s="8" t="s">
        <v>347</v>
      </c>
      <c r="C183" s="7" t="s">
        <v>26</v>
      </c>
      <c r="D183" s="18" t="n">
        <v>2</v>
      </c>
      <c r="E183" s="10" t="s">
        <v>32</v>
      </c>
      <c r="F183" s="11" t="n">
        <v>1</v>
      </c>
      <c r="G183" s="12" t="n">
        <v>0</v>
      </c>
      <c r="H183" s="13" t="n">
        <f aca="false">D183*F183*(1+G183)</f>
        <v>2</v>
      </c>
      <c r="I183" s="11" t="n">
        <v>1</v>
      </c>
      <c r="J183" s="7" t="s">
        <v>26</v>
      </c>
      <c r="K183" s="14" t="n">
        <f aca="false">ROUNDUP(H183/I183,0)</f>
        <v>2</v>
      </c>
      <c r="L183" s="15" t="s">
        <v>348</v>
      </c>
      <c r="M183" s="16"/>
      <c r="N183" s="17" t="str">
        <f aca="false">IF(M183="","",K183*M183)</f>
        <v/>
      </c>
    </row>
    <row r="184" customFormat="false" ht="15" hidden="false" customHeight="false" outlineLevel="0" collapsed="false">
      <c r="A184" s="7" t="n">
        <v>165</v>
      </c>
      <c r="B184" s="8" t="s">
        <v>349</v>
      </c>
      <c r="C184" s="7" t="s">
        <v>26</v>
      </c>
      <c r="D184" s="18" t="n">
        <v>1</v>
      </c>
      <c r="E184" s="10" t="s">
        <v>32</v>
      </c>
      <c r="F184" s="11" t="n">
        <v>1</v>
      </c>
      <c r="G184" s="12" t="n">
        <v>0</v>
      </c>
      <c r="H184" s="13" t="n">
        <f aca="false">D184*F184*(1+G184)</f>
        <v>1</v>
      </c>
      <c r="I184" s="11" t="n">
        <v>1</v>
      </c>
      <c r="J184" s="7" t="s">
        <v>26</v>
      </c>
      <c r="K184" s="14" t="n">
        <f aca="false">ROUNDUP(H184/I184,0)</f>
        <v>1</v>
      </c>
      <c r="L184" s="15" t="s">
        <v>350</v>
      </c>
      <c r="M184" s="16"/>
      <c r="N184" s="17" t="str">
        <f aca="false">IF(M184="","",K184*M184)</f>
        <v/>
      </c>
    </row>
    <row r="185" customFormat="false" ht="15" hidden="false" customHeight="false" outlineLevel="0" collapsed="false">
      <c r="A185" s="7" t="n">
        <v>166</v>
      </c>
      <c r="B185" s="8" t="s">
        <v>351</v>
      </c>
      <c r="C185" s="7" t="s">
        <v>26</v>
      </c>
      <c r="D185" s="18" t="n">
        <v>1</v>
      </c>
      <c r="E185" s="10" t="s">
        <v>32</v>
      </c>
      <c r="F185" s="11" t="n">
        <v>1</v>
      </c>
      <c r="G185" s="12" t="n">
        <v>0</v>
      </c>
      <c r="H185" s="13" t="n">
        <f aca="false">D185*F185*(1+G185)</f>
        <v>1</v>
      </c>
      <c r="I185" s="11" t="n">
        <v>1</v>
      </c>
      <c r="J185" s="7" t="s">
        <v>26</v>
      </c>
      <c r="K185" s="14" t="n">
        <f aca="false">ROUNDUP(H185/I185,0)</f>
        <v>1</v>
      </c>
      <c r="L185" s="15" t="s">
        <v>352</v>
      </c>
      <c r="M185" s="16"/>
      <c r="N185" s="17" t="str">
        <f aca="false">IF(M185="","",K185*M185)</f>
        <v/>
      </c>
    </row>
    <row r="186" customFormat="false" ht="15" hidden="false" customHeight="false" outlineLevel="0" collapsed="false">
      <c r="A186" s="7" t="n">
        <v>167</v>
      </c>
      <c r="B186" s="8" t="s">
        <v>353</v>
      </c>
      <c r="C186" s="7" t="s">
        <v>26</v>
      </c>
      <c r="D186" s="18" t="n">
        <v>1</v>
      </c>
      <c r="E186" s="10" t="s">
        <v>32</v>
      </c>
      <c r="F186" s="11" t="n">
        <v>1</v>
      </c>
      <c r="G186" s="12" t="n">
        <v>0</v>
      </c>
      <c r="H186" s="13" t="n">
        <f aca="false">D186*F186*(1+G186)</f>
        <v>1</v>
      </c>
      <c r="I186" s="11" t="n">
        <v>1</v>
      </c>
      <c r="J186" s="7" t="s">
        <v>26</v>
      </c>
      <c r="K186" s="14" t="n">
        <f aca="false">ROUNDUP(H186/I186,0)</f>
        <v>1</v>
      </c>
      <c r="L186" s="15" t="s">
        <v>354</v>
      </c>
      <c r="M186" s="16"/>
      <c r="N186" s="17" t="str">
        <f aca="false">IF(M186="","",K186*M186)</f>
        <v/>
      </c>
    </row>
    <row r="187" customFormat="false" ht="15" hidden="false" customHeight="false" outlineLevel="0" collapsed="false">
      <c r="A187" s="7" t="n">
        <v>168</v>
      </c>
      <c r="B187" s="8" t="s">
        <v>355</v>
      </c>
      <c r="C187" s="7" t="s">
        <v>26</v>
      </c>
      <c r="D187" s="18" t="n">
        <v>2</v>
      </c>
      <c r="E187" s="10" t="s">
        <v>32</v>
      </c>
      <c r="F187" s="11" t="n">
        <v>1</v>
      </c>
      <c r="G187" s="12" t="n">
        <v>0</v>
      </c>
      <c r="H187" s="13" t="n">
        <f aca="false">D187*F187*(1+G187)</f>
        <v>2</v>
      </c>
      <c r="I187" s="11" t="n">
        <v>1</v>
      </c>
      <c r="J187" s="7" t="s">
        <v>26</v>
      </c>
      <c r="K187" s="14" t="n">
        <f aca="false">ROUNDUP(H187/I187,0)</f>
        <v>2</v>
      </c>
      <c r="L187" s="15"/>
      <c r="M187" s="16"/>
      <c r="N187" s="17" t="str">
        <f aca="false">IF(M187="","",K187*M187)</f>
        <v/>
      </c>
    </row>
    <row r="188" customFormat="false" ht="15" hidden="false" customHeight="false" outlineLevel="0" collapsed="false">
      <c r="A188" s="7" t="n">
        <v>169</v>
      </c>
      <c r="B188" s="8" t="s">
        <v>356</v>
      </c>
      <c r="C188" s="7" t="s">
        <v>26</v>
      </c>
      <c r="D188" s="18" t="n">
        <v>2</v>
      </c>
      <c r="E188" s="10" t="s">
        <v>32</v>
      </c>
      <c r="F188" s="11" t="n">
        <v>1</v>
      </c>
      <c r="G188" s="12" t="n">
        <v>0</v>
      </c>
      <c r="H188" s="13" t="n">
        <f aca="false">D188*F188*(1+G188)</f>
        <v>2</v>
      </c>
      <c r="I188" s="11" t="n">
        <v>1</v>
      </c>
      <c r="J188" s="7" t="s">
        <v>26</v>
      </c>
      <c r="K188" s="14" t="n">
        <f aca="false">ROUNDUP(H188/I188,0)</f>
        <v>2</v>
      </c>
      <c r="L188" s="15" t="s">
        <v>357</v>
      </c>
      <c r="M188" s="16"/>
      <c r="N188" s="17" t="str">
        <f aca="false">IF(M188="","",K188*M188)</f>
        <v/>
      </c>
    </row>
    <row r="189" customFormat="false" ht="15" hidden="false" customHeight="false" outlineLevel="0" collapsed="false">
      <c r="A189" s="7" t="n">
        <v>170</v>
      </c>
      <c r="B189" s="8" t="s">
        <v>358</v>
      </c>
      <c r="C189" s="7" t="s">
        <v>26</v>
      </c>
      <c r="D189" s="18" t="n">
        <v>5</v>
      </c>
      <c r="E189" s="10" t="s">
        <v>32</v>
      </c>
      <c r="F189" s="11" t="n">
        <v>1</v>
      </c>
      <c r="G189" s="12" t="n">
        <v>0</v>
      </c>
      <c r="H189" s="13" t="n">
        <f aca="false">D189*F189*(1+G189)</f>
        <v>5</v>
      </c>
      <c r="I189" s="11" t="n">
        <v>1</v>
      </c>
      <c r="J189" s="7" t="s">
        <v>26</v>
      </c>
      <c r="K189" s="14" t="n">
        <f aca="false">ROUNDUP(H189/I189,0)</f>
        <v>5</v>
      </c>
      <c r="L189" s="15" t="s">
        <v>359</v>
      </c>
      <c r="M189" s="16"/>
      <c r="N189" s="17" t="str">
        <f aca="false">IF(M189="","",K189*M189)</f>
        <v/>
      </c>
    </row>
    <row r="190" customFormat="false" ht="15" hidden="false" customHeight="false" outlineLevel="0" collapsed="false">
      <c r="A190" s="7" t="n">
        <v>171</v>
      </c>
      <c r="B190" s="8" t="s">
        <v>360</v>
      </c>
      <c r="C190" s="7" t="s">
        <v>26</v>
      </c>
      <c r="D190" s="18" t="n">
        <v>1</v>
      </c>
      <c r="E190" s="10" t="s">
        <v>32</v>
      </c>
      <c r="F190" s="11" t="n">
        <v>1</v>
      </c>
      <c r="G190" s="12" t="n">
        <v>0</v>
      </c>
      <c r="H190" s="13" t="n">
        <f aca="false">D190*F190*(1+G190)</f>
        <v>1</v>
      </c>
      <c r="I190" s="11" t="n">
        <v>1</v>
      </c>
      <c r="J190" s="7" t="s">
        <v>26</v>
      </c>
      <c r="K190" s="14" t="n">
        <f aca="false">ROUNDUP(H190/I190,0)</f>
        <v>1</v>
      </c>
      <c r="L190" s="15" t="s">
        <v>361</v>
      </c>
      <c r="M190" s="16"/>
      <c r="N190" s="17" t="str">
        <f aca="false">IF(M190="","",K190*M190)</f>
        <v/>
      </c>
    </row>
    <row r="191" customFormat="false" ht="15" hidden="false" customHeight="false" outlineLevel="0" collapsed="false">
      <c r="A191" s="7" t="n">
        <v>172</v>
      </c>
      <c r="B191" s="8" t="s">
        <v>362</v>
      </c>
      <c r="C191" s="7" t="s">
        <v>299</v>
      </c>
      <c r="D191" s="18" t="n">
        <v>1</v>
      </c>
      <c r="E191" s="10" t="s">
        <v>32</v>
      </c>
      <c r="F191" s="11" t="n">
        <v>1</v>
      </c>
      <c r="G191" s="12" t="n">
        <v>0</v>
      </c>
      <c r="H191" s="13" t="n">
        <f aca="false">D191*F191*(1+G191)</f>
        <v>1</v>
      </c>
      <c r="I191" s="11" t="n">
        <v>1</v>
      </c>
      <c r="J191" s="7" t="s">
        <v>299</v>
      </c>
      <c r="K191" s="14" t="n">
        <f aca="false">ROUNDUP(H191/I191,0)</f>
        <v>1</v>
      </c>
      <c r="L191" s="15"/>
      <c r="M191" s="16"/>
      <c r="N191" s="17" t="str">
        <f aca="false">IF(M191="","",K191*M191)</f>
        <v/>
      </c>
    </row>
    <row r="192" customFormat="false" ht="15" hidden="false" customHeight="false" outlineLevel="0" collapsed="false">
      <c r="A192" s="7" t="n">
        <v>173</v>
      </c>
      <c r="B192" s="8" t="s">
        <v>363</v>
      </c>
      <c r="C192" s="7" t="s">
        <v>26</v>
      </c>
      <c r="D192" s="18" t="n">
        <v>20</v>
      </c>
      <c r="E192" s="10" t="s">
        <v>32</v>
      </c>
      <c r="F192" s="11" t="n">
        <v>1</v>
      </c>
      <c r="G192" s="12" t="n">
        <v>0</v>
      </c>
      <c r="H192" s="13" t="n">
        <f aca="false">D192*F192*(1+G192)</f>
        <v>20</v>
      </c>
      <c r="I192" s="11" t="n">
        <v>1</v>
      </c>
      <c r="J192" s="7" t="s">
        <v>26</v>
      </c>
      <c r="K192" s="14" t="n">
        <f aca="false">ROUNDUP(H192/I192,0)</f>
        <v>20</v>
      </c>
      <c r="L192" s="15" t="s">
        <v>364</v>
      </c>
      <c r="M192" s="16"/>
      <c r="N192" s="17" t="str">
        <f aca="false">IF(M192="","",K192*M192)</f>
        <v/>
      </c>
    </row>
    <row r="193" customFormat="false" ht="15" hidden="false" customHeight="false" outlineLevel="0" collapsed="false">
      <c r="A193" s="7" t="n">
        <v>174</v>
      </c>
      <c r="B193" s="8" t="s">
        <v>365</v>
      </c>
      <c r="C193" s="7" t="s">
        <v>26</v>
      </c>
      <c r="D193" s="18" t="n">
        <v>10</v>
      </c>
      <c r="E193" s="10" t="s">
        <v>32</v>
      </c>
      <c r="F193" s="11" t="n">
        <v>1</v>
      </c>
      <c r="G193" s="12" t="n">
        <v>0</v>
      </c>
      <c r="H193" s="13" t="n">
        <f aca="false">D193*F193*(1+G193)</f>
        <v>10</v>
      </c>
      <c r="I193" s="11" t="n">
        <v>1</v>
      </c>
      <c r="J193" s="7" t="s">
        <v>26</v>
      </c>
      <c r="K193" s="14" t="n">
        <f aca="false">ROUNDUP(H193/I193,0)</f>
        <v>10</v>
      </c>
      <c r="L193" s="15"/>
      <c r="M193" s="16"/>
      <c r="N193" s="17" t="str">
        <f aca="false">IF(M193="","",K193*M193)</f>
        <v/>
      </c>
    </row>
    <row r="194" customFormat="false" ht="15" hidden="false" customHeight="false" outlineLevel="0" collapsed="false">
      <c r="A194" s="7" t="n">
        <v>175</v>
      </c>
      <c r="B194" s="8" t="s">
        <v>366</v>
      </c>
      <c r="C194" s="7" t="s">
        <v>26</v>
      </c>
      <c r="D194" s="18" t="n">
        <v>1</v>
      </c>
      <c r="E194" s="10" t="s">
        <v>32</v>
      </c>
      <c r="F194" s="11" t="n">
        <v>1</v>
      </c>
      <c r="G194" s="12" t="n">
        <v>0</v>
      </c>
      <c r="H194" s="13" t="n">
        <f aca="false">D194*F194*(1+G194)</f>
        <v>1</v>
      </c>
      <c r="I194" s="11" t="n">
        <v>1</v>
      </c>
      <c r="J194" s="7" t="s">
        <v>26</v>
      </c>
      <c r="K194" s="14" t="n">
        <f aca="false">ROUNDUP(H194/I194,0)</f>
        <v>1</v>
      </c>
      <c r="L194" s="15"/>
      <c r="M194" s="16"/>
      <c r="N194" s="17" t="str">
        <f aca="false">IF(M194="","",K194*M194)</f>
        <v/>
      </c>
    </row>
    <row r="195" customFormat="false" ht="15" hidden="false" customHeight="false" outlineLevel="0" collapsed="false">
      <c r="A195" s="7" t="n">
        <v>176</v>
      </c>
      <c r="B195" s="8" t="s">
        <v>367</v>
      </c>
      <c r="C195" s="7" t="s">
        <v>26</v>
      </c>
      <c r="D195" s="18" t="n">
        <v>4</v>
      </c>
      <c r="E195" s="10" t="s">
        <v>32</v>
      </c>
      <c r="F195" s="11" t="n">
        <v>1</v>
      </c>
      <c r="G195" s="12" t="n">
        <v>0</v>
      </c>
      <c r="H195" s="13" t="n">
        <f aca="false">D195*F195*(1+G195)</f>
        <v>4</v>
      </c>
      <c r="I195" s="11" t="n">
        <v>1</v>
      </c>
      <c r="J195" s="7" t="s">
        <v>26</v>
      </c>
      <c r="K195" s="14" t="n">
        <f aca="false">ROUNDUP(H195/I195,0)</f>
        <v>4</v>
      </c>
      <c r="L195" s="15" t="s">
        <v>368</v>
      </c>
      <c r="M195" s="16"/>
      <c r="N195" s="17" t="str">
        <f aca="false">IF(M195="","",K195*M195)</f>
        <v/>
      </c>
    </row>
    <row r="196" customFormat="false" ht="15" hidden="false" customHeight="false" outlineLevel="0" collapsed="false">
      <c r="A196" s="7" t="n">
        <v>177</v>
      </c>
      <c r="B196" s="8" t="s">
        <v>369</v>
      </c>
      <c r="C196" s="7" t="s">
        <v>26</v>
      </c>
      <c r="D196" s="18" t="n">
        <v>2</v>
      </c>
      <c r="E196" s="10" t="s">
        <v>32</v>
      </c>
      <c r="F196" s="11" t="n">
        <v>1</v>
      </c>
      <c r="G196" s="12" t="n">
        <v>0</v>
      </c>
      <c r="H196" s="13" t="n">
        <f aca="false">D196*F196*(1+G196)</f>
        <v>2</v>
      </c>
      <c r="I196" s="11" t="n">
        <v>1</v>
      </c>
      <c r="J196" s="7" t="s">
        <v>26</v>
      </c>
      <c r="K196" s="14" t="n">
        <f aca="false">ROUNDUP(H196/I196,0)</f>
        <v>2</v>
      </c>
      <c r="L196" s="15"/>
      <c r="M196" s="16"/>
      <c r="N196" s="17" t="str">
        <f aca="false">IF(M196="","",K196*M196)</f>
        <v/>
      </c>
    </row>
    <row r="197" customFormat="false" ht="15" hidden="false" customHeight="false" outlineLevel="0" collapsed="false">
      <c r="A197" s="7" t="n">
        <v>178</v>
      </c>
      <c r="B197" s="8" t="s">
        <v>370</v>
      </c>
      <c r="C197" s="7" t="s">
        <v>371</v>
      </c>
      <c r="D197" s="18" t="n">
        <v>1</v>
      </c>
      <c r="E197" s="10" t="s">
        <v>32</v>
      </c>
      <c r="F197" s="11" t="n">
        <v>1</v>
      </c>
      <c r="G197" s="12" t="n">
        <v>0</v>
      </c>
      <c r="H197" s="13" t="n">
        <f aca="false">D197*F197*(1+G197)</f>
        <v>1</v>
      </c>
      <c r="I197" s="11" t="n">
        <v>1</v>
      </c>
      <c r="J197" s="7" t="s">
        <v>371</v>
      </c>
      <c r="K197" s="14" t="n">
        <f aca="false">ROUNDUP(H197/I197,0)</f>
        <v>1</v>
      </c>
      <c r="L197" s="15"/>
      <c r="M197" s="16"/>
      <c r="N197" s="17" t="str">
        <f aca="false">IF(M197="","",K197*M197)</f>
        <v/>
      </c>
    </row>
    <row r="198" customFormat="false" ht="15" hidden="false" customHeight="false" outlineLevel="0" collapsed="false">
      <c r="A198" s="7" t="n">
        <v>179</v>
      </c>
      <c r="B198" s="8" t="s">
        <v>372</v>
      </c>
      <c r="C198" s="7" t="s">
        <v>26</v>
      </c>
      <c r="D198" s="18" t="n">
        <v>2</v>
      </c>
      <c r="E198" s="10" t="s">
        <v>32</v>
      </c>
      <c r="F198" s="11" t="n">
        <v>1</v>
      </c>
      <c r="G198" s="12" t="n">
        <v>0</v>
      </c>
      <c r="H198" s="13" t="n">
        <f aca="false">D198*F198*(1+G198)</f>
        <v>2</v>
      </c>
      <c r="I198" s="11" t="n">
        <v>1</v>
      </c>
      <c r="J198" s="7" t="s">
        <v>26</v>
      </c>
      <c r="K198" s="14" t="n">
        <f aca="false">ROUNDUP(H198/I198,0)</f>
        <v>2</v>
      </c>
      <c r="L198" s="15" t="s">
        <v>373</v>
      </c>
      <c r="M198" s="16"/>
      <c r="N198" s="17" t="str">
        <f aca="false">IF(M198="","",K198*M198)</f>
        <v/>
      </c>
    </row>
    <row r="199" customFormat="false" ht="15" hidden="false" customHeight="false" outlineLevel="0" collapsed="false">
      <c r="A199" s="7" t="n">
        <v>180</v>
      </c>
      <c r="B199" s="8" t="s">
        <v>374</v>
      </c>
      <c r="C199" s="7" t="s">
        <v>26</v>
      </c>
      <c r="D199" s="18" t="n">
        <v>1</v>
      </c>
      <c r="E199" s="10" t="s">
        <v>32</v>
      </c>
      <c r="F199" s="11" t="n">
        <v>1</v>
      </c>
      <c r="G199" s="12" t="n">
        <v>0</v>
      </c>
      <c r="H199" s="13" t="n">
        <f aca="false">D199*F199*(1+G199)</f>
        <v>1</v>
      </c>
      <c r="I199" s="11" t="n">
        <v>1</v>
      </c>
      <c r="J199" s="7" t="s">
        <v>26</v>
      </c>
      <c r="K199" s="14" t="n">
        <f aca="false">ROUNDUP(H199/I199,0)</f>
        <v>1</v>
      </c>
      <c r="L199" s="15"/>
      <c r="M199" s="16"/>
      <c r="N199" s="17" t="str">
        <f aca="false">IF(M199="","",K199*M199)</f>
        <v/>
      </c>
    </row>
    <row r="200" customFormat="false" ht="15" hidden="false" customHeight="false" outlineLevel="0" collapsed="false">
      <c r="A200" s="7" t="n">
        <v>181</v>
      </c>
      <c r="B200" s="8" t="s">
        <v>375</v>
      </c>
      <c r="C200" s="7" t="s">
        <v>26</v>
      </c>
      <c r="D200" s="18" t="n">
        <v>2</v>
      </c>
      <c r="E200" s="10" t="s">
        <v>32</v>
      </c>
      <c r="F200" s="11" t="n">
        <v>1</v>
      </c>
      <c r="G200" s="12" t="n">
        <v>0</v>
      </c>
      <c r="H200" s="13" t="n">
        <f aca="false">D200*F200*(1+G200)</f>
        <v>2</v>
      </c>
      <c r="I200" s="11" t="n">
        <v>1</v>
      </c>
      <c r="J200" s="7" t="s">
        <v>26</v>
      </c>
      <c r="K200" s="14" t="n">
        <f aca="false">ROUNDUP(H200/I200,0)</f>
        <v>2</v>
      </c>
      <c r="L200" s="15"/>
      <c r="M200" s="16"/>
      <c r="N200" s="17" t="str">
        <f aca="false">IF(M200="","",K200*M200)</f>
        <v/>
      </c>
    </row>
    <row r="201" customFormat="false" ht="15" hidden="false" customHeight="false" outlineLevel="0" collapsed="false">
      <c r="A201" s="7" t="n">
        <v>182</v>
      </c>
      <c r="B201" s="8" t="s">
        <v>376</v>
      </c>
      <c r="C201" s="7" t="s">
        <v>299</v>
      </c>
      <c r="D201" s="18" t="n">
        <v>2</v>
      </c>
      <c r="E201" s="10" t="s">
        <v>32</v>
      </c>
      <c r="F201" s="11" t="n">
        <v>1</v>
      </c>
      <c r="G201" s="12" t="n">
        <v>0</v>
      </c>
      <c r="H201" s="13" t="n">
        <f aca="false">D201*F201*(1+G201)</f>
        <v>2</v>
      </c>
      <c r="I201" s="11" t="n">
        <v>1</v>
      </c>
      <c r="J201" s="7" t="s">
        <v>299</v>
      </c>
      <c r="K201" s="14" t="n">
        <f aca="false">ROUNDUP(H201/I201,0)</f>
        <v>2</v>
      </c>
      <c r="L201" s="15"/>
      <c r="M201" s="16"/>
      <c r="N201" s="17" t="str">
        <f aca="false">IF(M201="","",K201*M201)</f>
        <v/>
      </c>
    </row>
    <row r="202" customFormat="false" ht="15" hidden="false" customHeight="false" outlineLevel="0" collapsed="false">
      <c r="A202" s="7" t="n">
        <v>183</v>
      </c>
      <c r="B202" s="8" t="s">
        <v>377</v>
      </c>
      <c r="C202" s="7" t="s">
        <v>26</v>
      </c>
      <c r="D202" s="18" t="n">
        <v>2</v>
      </c>
      <c r="E202" s="10" t="s">
        <v>32</v>
      </c>
      <c r="F202" s="11" t="n">
        <v>1</v>
      </c>
      <c r="G202" s="12" t="n">
        <v>0</v>
      </c>
      <c r="H202" s="13" t="n">
        <f aca="false">D202*F202*(1+G202)</f>
        <v>2</v>
      </c>
      <c r="I202" s="11" t="n">
        <v>1</v>
      </c>
      <c r="J202" s="7" t="s">
        <v>26</v>
      </c>
      <c r="K202" s="14" t="n">
        <f aca="false">ROUNDUP(H202/I202,0)</f>
        <v>2</v>
      </c>
      <c r="L202" s="15"/>
      <c r="M202" s="16"/>
      <c r="N202" s="17" t="str">
        <f aca="false">IF(M202="","",K202*M202)</f>
        <v/>
      </c>
    </row>
    <row r="203" customFormat="false" ht="15" hidden="false" customHeight="false" outlineLevel="0" collapsed="false">
      <c r="A203" s="7" t="n">
        <v>184</v>
      </c>
      <c r="B203" s="8" t="s">
        <v>378</v>
      </c>
      <c r="C203" s="7" t="s">
        <v>26</v>
      </c>
      <c r="D203" s="18" t="n">
        <v>4</v>
      </c>
      <c r="E203" s="10" t="s">
        <v>32</v>
      </c>
      <c r="F203" s="11" t="n">
        <v>1</v>
      </c>
      <c r="G203" s="12" t="n">
        <v>0</v>
      </c>
      <c r="H203" s="13" t="n">
        <f aca="false">D203*F203*(1+G203)</f>
        <v>4</v>
      </c>
      <c r="I203" s="11" t="n">
        <v>1</v>
      </c>
      <c r="J203" s="7" t="s">
        <v>26</v>
      </c>
      <c r="K203" s="14" t="n">
        <f aca="false">ROUNDUP(H203/I203,0)</f>
        <v>4</v>
      </c>
      <c r="L203" s="15"/>
      <c r="M203" s="16"/>
      <c r="N203" s="17" t="str">
        <f aca="false">IF(M203="","",K203*M203)</f>
        <v/>
      </c>
    </row>
    <row r="204" customFormat="false" ht="15" hidden="false" customHeight="false" outlineLevel="0" collapsed="false">
      <c r="A204" s="7" t="n">
        <v>185</v>
      </c>
      <c r="B204" s="8" t="s">
        <v>379</v>
      </c>
      <c r="C204" s="7" t="s">
        <v>26</v>
      </c>
      <c r="D204" s="18" t="n">
        <v>1</v>
      </c>
      <c r="E204" s="10" t="s">
        <v>32</v>
      </c>
      <c r="F204" s="11" t="n">
        <v>1</v>
      </c>
      <c r="G204" s="12" t="n">
        <v>0</v>
      </c>
      <c r="H204" s="13" t="n">
        <f aca="false">D204*F204*(1+G204)</f>
        <v>1</v>
      </c>
      <c r="I204" s="11" t="n">
        <v>1</v>
      </c>
      <c r="J204" s="7" t="s">
        <v>26</v>
      </c>
      <c r="K204" s="14" t="n">
        <f aca="false">ROUNDUP(H204/I204,0)</f>
        <v>1</v>
      </c>
      <c r="L204" s="15"/>
      <c r="M204" s="16"/>
      <c r="N204" s="17" t="str">
        <f aca="false">IF(M204="","",K204*M204)</f>
        <v/>
      </c>
    </row>
    <row r="205" customFormat="false" ht="15" hidden="false" customHeight="false" outlineLevel="0" collapsed="false">
      <c r="A205" s="4"/>
      <c r="B205" s="5" t="s">
        <v>380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customFormat="false" ht="15" hidden="false" customHeight="false" outlineLevel="0" collapsed="false">
      <c r="A206" s="7" t="n">
        <v>186</v>
      </c>
      <c r="B206" s="8" t="s">
        <v>381</v>
      </c>
      <c r="C206" s="7" t="s">
        <v>38</v>
      </c>
      <c r="D206" s="18" t="n">
        <v>10</v>
      </c>
      <c r="E206" s="10" t="s">
        <v>32</v>
      </c>
      <c r="F206" s="11" t="n">
        <v>1</v>
      </c>
      <c r="G206" s="12" t="n">
        <v>0</v>
      </c>
      <c r="H206" s="13" t="n">
        <f aca="false">D206*F206*(1+G206)</f>
        <v>10</v>
      </c>
      <c r="I206" s="11" t="n">
        <v>1</v>
      </c>
      <c r="J206" s="7" t="s">
        <v>38</v>
      </c>
      <c r="K206" s="14" t="n">
        <f aca="false">ROUNDUP(H206/I206,0)</f>
        <v>10</v>
      </c>
      <c r="L206" s="15"/>
      <c r="M206" s="16"/>
      <c r="N206" s="17" t="str">
        <f aca="false">IF(M206="","",K206*M206)</f>
        <v/>
      </c>
    </row>
    <row r="207" customFormat="false" ht="15" hidden="false" customHeight="false" outlineLevel="0" collapsed="false">
      <c r="A207" s="7" t="n">
        <v>187</v>
      </c>
      <c r="B207" s="8" t="s">
        <v>382</v>
      </c>
      <c r="C207" s="7" t="s">
        <v>26</v>
      </c>
      <c r="D207" s="18" t="n">
        <v>6</v>
      </c>
      <c r="E207" s="10" t="s">
        <v>32</v>
      </c>
      <c r="F207" s="11" t="n">
        <v>1</v>
      </c>
      <c r="G207" s="12" t="n">
        <v>0</v>
      </c>
      <c r="H207" s="13" t="n">
        <f aca="false">D207*F207*(1+G207)</f>
        <v>6</v>
      </c>
      <c r="I207" s="11" t="n">
        <v>1</v>
      </c>
      <c r="J207" s="7" t="s">
        <v>26</v>
      </c>
      <c r="K207" s="14" t="n">
        <f aca="false">ROUNDUP(H207/I207,0)</f>
        <v>6</v>
      </c>
      <c r="L207" s="15" t="s">
        <v>383</v>
      </c>
      <c r="M207" s="16"/>
      <c r="N207" s="17" t="str">
        <f aca="false">IF(M207="","",K207*M207)</f>
        <v/>
      </c>
    </row>
    <row r="208" customFormat="false" ht="15" hidden="false" customHeight="false" outlineLevel="0" collapsed="false">
      <c r="A208" s="7" t="n">
        <v>188</v>
      </c>
      <c r="B208" s="8" t="s">
        <v>384</v>
      </c>
      <c r="C208" s="7" t="s">
        <v>19</v>
      </c>
      <c r="D208" s="18" t="n">
        <v>20</v>
      </c>
      <c r="E208" s="10" t="s">
        <v>32</v>
      </c>
      <c r="F208" s="11" t="n">
        <v>1</v>
      </c>
      <c r="G208" s="12" t="n">
        <v>0</v>
      </c>
      <c r="H208" s="13" t="n">
        <f aca="false">D208*F208*(1+G208)</f>
        <v>20</v>
      </c>
      <c r="I208" s="11" t="n">
        <v>1</v>
      </c>
      <c r="J208" s="7" t="s">
        <v>19</v>
      </c>
      <c r="K208" s="14" t="n">
        <f aca="false">ROUNDUP(H208/I208,0)</f>
        <v>20</v>
      </c>
      <c r="L208" s="15"/>
      <c r="M208" s="16"/>
      <c r="N208" s="17" t="str">
        <f aca="false">IF(M208="","",K208*M208)</f>
        <v/>
      </c>
    </row>
    <row r="209" customFormat="false" ht="15" hidden="false" customHeight="false" outlineLevel="0" collapsed="false">
      <c r="A209" s="7" t="n">
        <v>189</v>
      </c>
      <c r="B209" s="8" t="s">
        <v>385</v>
      </c>
      <c r="C209" s="7" t="s">
        <v>26</v>
      </c>
      <c r="D209" s="18" t="n">
        <v>100</v>
      </c>
      <c r="E209" s="10" t="s">
        <v>32</v>
      </c>
      <c r="F209" s="11" t="n">
        <v>1</v>
      </c>
      <c r="G209" s="12" t="n">
        <v>0</v>
      </c>
      <c r="H209" s="13" t="n">
        <f aca="false">D209*F209*(1+G209)</f>
        <v>100</v>
      </c>
      <c r="I209" s="11" t="n">
        <v>1</v>
      </c>
      <c r="J209" s="7" t="s">
        <v>26</v>
      </c>
      <c r="K209" s="14" t="n">
        <f aca="false">ROUNDUP(H209/I209,0)</f>
        <v>100</v>
      </c>
      <c r="L209" s="15"/>
      <c r="M209" s="16"/>
      <c r="N209" s="17" t="str">
        <f aca="false">IF(M209="","",K209*M209)</f>
        <v/>
      </c>
    </row>
    <row r="210" customFormat="false" ht="15" hidden="false" customHeight="false" outlineLevel="0" collapsed="false">
      <c r="A210" s="7" t="n">
        <v>190</v>
      </c>
      <c r="B210" s="8" t="s">
        <v>386</v>
      </c>
      <c r="C210" s="7" t="s">
        <v>387</v>
      </c>
      <c r="D210" s="18" t="n">
        <v>20</v>
      </c>
      <c r="E210" s="10" t="s">
        <v>32</v>
      </c>
      <c r="F210" s="11" t="n">
        <v>1</v>
      </c>
      <c r="G210" s="12" t="n">
        <v>0</v>
      </c>
      <c r="H210" s="13" t="n">
        <f aca="false">D210*F210*(1+G210)</f>
        <v>20</v>
      </c>
      <c r="I210" s="11" t="n">
        <v>1</v>
      </c>
      <c r="J210" s="7" t="s">
        <v>387</v>
      </c>
      <c r="K210" s="14" t="n">
        <f aca="false">ROUNDUP(H210/I210,0)</f>
        <v>20</v>
      </c>
      <c r="L210" s="15"/>
      <c r="M210" s="16"/>
      <c r="N210" s="17" t="str">
        <f aca="false">IF(M210="","",K210*M210)</f>
        <v/>
      </c>
    </row>
    <row r="211" customFormat="false" ht="15" hidden="false" customHeight="false" outlineLevel="0" collapsed="false">
      <c r="A211" s="7" t="n">
        <v>191</v>
      </c>
      <c r="B211" s="8" t="s">
        <v>388</v>
      </c>
      <c r="C211" s="7" t="s">
        <v>26</v>
      </c>
      <c r="D211" s="18" t="n">
        <v>5</v>
      </c>
      <c r="E211" s="10" t="s">
        <v>32</v>
      </c>
      <c r="F211" s="11" t="n">
        <v>1</v>
      </c>
      <c r="G211" s="12" t="n">
        <v>0</v>
      </c>
      <c r="H211" s="13" t="n">
        <f aca="false">D211*F211*(1+G211)</f>
        <v>5</v>
      </c>
      <c r="I211" s="11" t="n">
        <v>1</v>
      </c>
      <c r="J211" s="7" t="s">
        <v>26</v>
      </c>
      <c r="K211" s="14" t="n">
        <f aca="false">ROUNDUP(H211/I211,0)</f>
        <v>5</v>
      </c>
      <c r="L211" s="15"/>
      <c r="M211" s="16"/>
      <c r="N211" s="17" t="str">
        <f aca="false">IF(M211="","",K211*M211)</f>
        <v/>
      </c>
    </row>
    <row r="212" customFormat="false" ht="15" hidden="false" customHeight="false" outlineLevel="0" collapsed="false">
      <c r="A212" s="7" t="n">
        <v>192</v>
      </c>
      <c r="B212" s="8" t="s">
        <v>389</v>
      </c>
      <c r="C212" s="7" t="s">
        <v>26</v>
      </c>
      <c r="D212" s="18" t="n">
        <v>2</v>
      </c>
      <c r="E212" s="10" t="s">
        <v>32</v>
      </c>
      <c r="F212" s="11" t="n">
        <v>1</v>
      </c>
      <c r="G212" s="12" t="n">
        <v>0</v>
      </c>
      <c r="H212" s="13" t="n">
        <f aca="false">D212*F212*(1+G212)</f>
        <v>2</v>
      </c>
      <c r="I212" s="11" t="n">
        <v>1</v>
      </c>
      <c r="J212" s="7" t="s">
        <v>26</v>
      </c>
      <c r="K212" s="14" t="n">
        <f aca="false">ROUNDUP(H212/I212,0)</f>
        <v>2</v>
      </c>
      <c r="L212" s="15"/>
      <c r="M212" s="16"/>
      <c r="N212" s="17" t="str">
        <f aca="false">IF(M212="","",K212*M212)</f>
        <v/>
      </c>
    </row>
    <row r="213" customFormat="false" ht="15" hidden="false" customHeight="false" outlineLevel="0" collapsed="false">
      <c r="A213" s="7" t="n">
        <v>193</v>
      </c>
      <c r="B213" s="8" t="s">
        <v>390</v>
      </c>
      <c r="C213" s="7" t="s">
        <v>299</v>
      </c>
      <c r="D213" s="18" t="n">
        <v>1</v>
      </c>
      <c r="E213" s="10" t="s">
        <v>32</v>
      </c>
      <c r="F213" s="11" t="n">
        <v>1</v>
      </c>
      <c r="G213" s="12" t="n">
        <v>0</v>
      </c>
      <c r="H213" s="13" t="n">
        <f aca="false">D213*F213*(1+G213)</f>
        <v>1</v>
      </c>
      <c r="I213" s="11" t="n">
        <v>1</v>
      </c>
      <c r="J213" s="7" t="s">
        <v>299</v>
      </c>
      <c r="K213" s="14" t="n">
        <f aca="false">ROUNDUP(H213/I213,0)</f>
        <v>1</v>
      </c>
      <c r="L213" s="15"/>
      <c r="M213" s="16"/>
      <c r="N213" s="17" t="str">
        <f aca="false">IF(M213="","",K213*M213)</f>
        <v/>
      </c>
    </row>
    <row r="214" customFormat="false" ht="15" hidden="false" customHeight="false" outlineLevel="0" collapsed="false">
      <c r="A214" s="7" t="n">
        <v>194</v>
      </c>
      <c r="B214" s="8" t="s">
        <v>391</v>
      </c>
      <c r="C214" s="7" t="s">
        <v>299</v>
      </c>
      <c r="D214" s="18" t="n">
        <v>1</v>
      </c>
      <c r="E214" s="10" t="s">
        <v>32</v>
      </c>
      <c r="F214" s="11" t="n">
        <v>1</v>
      </c>
      <c r="G214" s="12" t="n">
        <v>0</v>
      </c>
      <c r="H214" s="13" t="n">
        <f aca="false">D214*F214*(1+G214)</f>
        <v>1</v>
      </c>
      <c r="I214" s="11" t="n">
        <v>1</v>
      </c>
      <c r="J214" s="7" t="s">
        <v>299</v>
      </c>
      <c r="K214" s="14" t="n">
        <f aca="false">ROUNDUP(H214/I214,0)</f>
        <v>1</v>
      </c>
      <c r="L214" s="15"/>
      <c r="M214" s="16"/>
      <c r="N214" s="17" t="str">
        <f aca="false">IF(M214="","",K214*M214)</f>
        <v/>
      </c>
    </row>
    <row r="216" customFormat="false" ht="15" hidden="false" customHeight="false" outlineLevel="0" collapsed="false">
      <c r="M216" s="19" t="s">
        <v>392</v>
      </c>
      <c r="N216" s="20" t="n">
        <f aca="false">SUM(N5:N214)</f>
        <v>0</v>
      </c>
    </row>
    <row r="218" customFormat="false" ht="27.75" hidden="false" customHeight="true" outlineLevel="0" collapsed="false">
      <c r="B218" s="21" t="s">
        <v>393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</row>
    <row r="219" customFormat="false" ht="15.75" hidden="false" customHeight="true" outlineLevel="0" collapsed="false">
      <c r="B219" s="22" t="s">
        <v>394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</row>
    <row r="220" customFormat="false" ht="15.75" hidden="false" customHeight="true" outlineLevel="0" collapsed="false">
      <c r="B220" s="22" t="s">
        <v>395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</row>
    <row r="221" customFormat="false" ht="15.75" hidden="false" customHeight="true" outlineLevel="0" collapsed="false">
      <c r="B221" s="22" t="s">
        <v>396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</row>
    <row r="222" customFormat="false" ht="15.75" hidden="false" customHeight="true" outlineLevel="0" collapsed="false">
      <c r="B222" s="22" t="s">
        <v>397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</row>
    <row r="223" customFormat="false" ht="15.75" hidden="false" customHeight="true" outlineLevel="0" collapsed="false">
      <c r="B223" s="22" t="s">
        <v>398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</row>
    <row r="224" customFormat="false" ht="15.75" hidden="false" customHeight="true" outlineLevel="0" collapsed="false">
      <c r="B224" s="22" t="s">
        <v>399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</row>
  </sheetData>
  <autoFilter ref="A4:N214"/>
  <mergeCells count="8">
    <mergeCell ref="A2:N2"/>
    <mergeCell ref="B218:L218"/>
    <mergeCell ref="B219:L219"/>
    <mergeCell ref="B220:L220"/>
    <mergeCell ref="B221:L221"/>
    <mergeCell ref="B222:L222"/>
    <mergeCell ref="B223:L223"/>
    <mergeCell ref="B224:L2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8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23" t="s">
        <v>400</v>
      </c>
    </row>
    <row r="2" customFormat="false" ht="15" hidden="false" customHeight="false" outlineLevel="0" collapsed="false">
      <c r="A2" s="24" t="s">
        <v>401</v>
      </c>
    </row>
    <row r="4" customFormat="false" ht="15" hidden="false" customHeight="false" outlineLevel="0" collapsed="false">
      <c r="A4" s="25" t="s">
        <v>402</v>
      </c>
      <c r="B4" s="25" t="s">
        <v>403</v>
      </c>
      <c r="C4" s="25" t="s">
        <v>404</v>
      </c>
    </row>
    <row r="5" customFormat="false" ht="15" hidden="false" customHeight="false" outlineLevel="0" collapsed="false">
      <c r="A5" s="26" t="s">
        <v>405</v>
      </c>
      <c r="B5" s="7" t="s">
        <v>90</v>
      </c>
      <c r="C5" s="18" t="n">
        <v>131.12</v>
      </c>
    </row>
    <row r="6" customFormat="false" ht="15" hidden="false" customHeight="false" outlineLevel="0" collapsed="false">
      <c r="A6" s="26" t="s">
        <v>406</v>
      </c>
      <c r="B6" s="7" t="s">
        <v>407</v>
      </c>
      <c r="C6" s="18" t="n">
        <v>23.9</v>
      </c>
    </row>
    <row r="7" customFormat="false" ht="15" hidden="false" customHeight="false" outlineLevel="0" collapsed="false">
      <c r="A7" s="26" t="s">
        <v>408</v>
      </c>
      <c r="B7" s="7" t="s">
        <v>133</v>
      </c>
      <c r="C7" s="18" t="n">
        <v>6.34</v>
      </c>
    </row>
    <row r="8" customFormat="false" ht="15" hidden="false" customHeight="false" outlineLevel="0" collapsed="false">
      <c r="A8" s="26" t="s">
        <v>409</v>
      </c>
      <c r="B8" s="7" t="s">
        <v>131</v>
      </c>
      <c r="C8" s="18" t="n">
        <v>17.56</v>
      </c>
    </row>
    <row r="9" customFormat="false" ht="15" hidden="false" customHeight="false" outlineLevel="0" collapsed="false">
      <c r="A9" s="26" t="s">
        <v>410</v>
      </c>
      <c r="B9" s="7" t="s">
        <v>136</v>
      </c>
      <c r="C9" s="18" t="n">
        <v>2.4</v>
      </c>
    </row>
    <row r="10" customFormat="false" ht="15" hidden="false" customHeight="false" outlineLevel="0" collapsed="false">
      <c r="A10" s="26" t="s">
        <v>411</v>
      </c>
      <c r="B10" s="7" t="s">
        <v>73</v>
      </c>
      <c r="C10" s="18" t="n">
        <v>79.25</v>
      </c>
    </row>
    <row r="11" customFormat="false" ht="15" hidden="false" customHeight="false" outlineLevel="0" collapsed="false">
      <c r="A11" s="26" t="s">
        <v>412</v>
      </c>
      <c r="B11" s="7" t="s">
        <v>79</v>
      </c>
      <c r="C11" s="18" t="n">
        <v>23.9</v>
      </c>
    </row>
    <row r="12" customFormat="false" ht="15" hidden="false" customHeight="false" outlineLevel="0" collapsed="false">
      <c r="A12" s="26" t="s">
        <v>413</v>
      </c>
      <c r="B12" s="7" t="s">
        <v>82</v>
      </c>
      <c r="C12" s="18" t="n">
        <v>38.2</v>
      </c>
    </row>
    <row r="13" customFormat="false" ht="15" hidden="false" customHeight="false" outlineLevel="0" collapsed="false">
      <c r="A13" s="26" t="s">
        <v>414</v>
      </c>
      <c r="B13" s="7" t="s">
        <v>115</v>
      </c>
      <c r="C13" s="18" t="n">
        <v>39.67</v>
      </c>
    </row>
    <row r="14" customFormat="false" ht="15" hidden="false" customHeight="false" outlineLevel="0" collapsed="false">
      <c r="A14" s="26" t="s">
        <v>415</v>
      </c>
      <c r="B14" s="7" t="s">
        <v>124</v>
      </c>
      <c r="C14" s="18" t="n">
        <v>10.21</v>
      </c>
    </row>
    <row r="15" customFormat="false" ht="15" hidden="false" customHeight="false" outlineLevel="0" collapsed="false">
      <c r="A15" s="26" t="s">
        <v>416</v>
      </c>
      <c r="B15" s="7" t="s">
        <v>128</v>
      </c>
      <c r="C15" s="18" t="n">
        <v>4.62</v>
      </c>
    </row>
    <row r="16" customFormat="false" ht="15" hidden="false" customHeight="false" outlineLevel="0" collapsed="false">
      <c r="A16" s="26" t="s">
        <v>417</v>
      </c>
      <c r="B16" s="7" t="s">
        <v>418</v>
      </c>
      <c r="C16" s="18" t="n">
        <v>0.92</v>
      </c>
    </row>
    <row r="17" customFormat="false" ht="15" hidden="false" customHeight="false" outlineLevel="0" collapsed="false">
      <c r="A17" s="26" t="s">
        <v>419</v>
      </c>
      <c r="B17" s="7" t="s">
        <v>102</v>
      </c>
      <c r="C17" s="18" t="n">
        <v>54.51</v>
      </c>
    </row>
    <row r="18" customFormat="false" ht="15" hidden="false" customHeight="false" outlineLevel="0" collapsed="false">
      <c r="A18" s="26" t="s">
        <v>420</v>
      </c>
      <c r="B18" s="7" t="s">
        <v>108</v>
      </c>
      <c r="C18" s="18" t="n">
        <v>3153.86</v>
      </c>
    </row>
    <row r="19" customFormat="false" ht="15" hidden="false" customHeight="false" outlineLevel="0" collapsed="false">
      <c r="A19" s="26" t="s">
        <v>421</v>
      </c>
      <c r="B19" s="7" t="s">
        <v>106</v>
      </c>
      <c r="C19" s="18" t="n">
        <v>59.2</v>
      </c>
    </row>
    <row r="20" customFormat="false" ht="15" hidden="false" customHeight="false" outlineLevel="0" collapsed="false">
      <c r="A20" s="26" t="s">
        <v>422</v>
      </c>
      <c r="B20" s="7" t="s">
        <v>165</v>
      </c>
      <c r="C20" s="18" t="n">
        <v>54.51</v>
      </c>
    </row>
    <row r="21" customFormat="false" ht="15" hidden="false" customHeight="false" outlineLevel="0" collapsed="false">
      <c r="A21" s="26" t="s">
        <v>423</v>
      </c>
      <c r="B21" s="7" t="s">
        <v>151</v>
      </c>
      <c r="C21" s="18" t="n">
        <v>9.94</v>
      </c>
    </row>
    <row r="22" customFormat="false" ht="15" hidden="false" customHeight="false" outlineLevel="0" collapsed="false">
      <c r="A22" s="26" t="s">
        <v>424</v>
      </c>
      <c r="B22" s="7" t="s">
        <v>154</v>
      </c>
      <c r="C22" s="18" t="n">
        <v>13.3</v>
      </c>
    </row>
    <row r="23" customFormat="false" ht="15" hidden="false" customHeight="false" outlineLevel="0" collapsed="false">
      <c r="A23" s="26" t="s">
        <v>425</v>
      </c>
      <c r="B23" s="7" t="s">
        <v>20</v>
      </c>
      <c r="C23" s="18" t="n">
        <v>27.96</v>
      </c>
    </row>
    <row r="24" customFormat="false" ht="15" hidden="false" customHeight="false" outlineLevel="0" collapsed="false">
      <c r="A24" s="26" t="s">
        <v>426</v>
      </c>
      <c r="B24" s="7" t="s">
        <v>25</v>
      </c>
      <c r="C24" s="18" t="n">
        <v>10.6</v>
      </c>
    </row>
    <row r="25" customFormat="false" ht="15" hidden="false" customHeight="false" outlineLevel="0" collapsed="false">
      <c r="A25" s="26" t="s">
        <v>427</v>
      </c>
      <c r="B25" s="7" t="s">
        <v>29</v>
      </c>
      <c r="C25" s="18" t="n">
        <v>25</v>
      </c>
    </row>
    <row r="26" customFormat="false" ht="15" hidden="false" customHeight="false" outlineLevel="0" collapsed="false">
      <c r="A26" s="26" t="s">
        <v>428</v>
      </c>
      <c r="B26" s="7" t="s">
        <v>55</v>
      </c>
      <c r="C26" s="18" t="n">
        <v>11.43</v>
      </c>
    </row>
    <row r="27" customFormat="false" ht="15" hidden="false" customHeight="false" outlineLevel="0" collapsed="false">
      <c r="A27" s="26" t="s">
        <v>429</v>
      </c>
      <c r="B27" s="7" t="s">
        <v>60</v>
      </c>
      <c r="C27" s="18" t="n">
        <v>4.3</v>
      </c>
    </row>
    <row r="28" customFormat="false" ht="15" hidden="false" customHeight="false" outlineLevel="0" collapsed="false">
      <c r="A28" s="26" t="s">
        <v>430</v>
      </c>
      <c r="B28" s="7" t="s">
        <v>218</v>
      </c>
      <c r="C28" s="18" t="n">
        <v>32</v>
      </c>
    </row>
    <row r="29" customFormat="false" ht="15" hidden="false" customHeight="false" outlineLevel="0" collapsed="false">
      <c r="A29" s="26" t="s">
        <v>431</v>
      </c>
      <c r="B29" s="7" t="s">
        <v>221</v>
      </c>
      <c r="C29" s="18" t="n">
        <v>2</v>
      </c>
    </row>
    <row r="30" customFormat="false" ht="15" hidden="false" customHeight="false" outlineLevel="0" collapsed="false">
      <c r="A30" s="26" t="s">
        <v>432</v>
      </c>
      <c r="B30" s="7" t="s">
        <v>433</v>
      </c>
      <c r="C30" s="18" t="n">
        <v>9</v>
      </c>
    </row>
    <row r="31" customFormat="false" ht="15" hidden="false" customHeight="false" outlineLevel="0" collapsed="false">
      <c r="A31" s="26" t="s">
        <v>434</v>
      </c>
      <c r="B31" s="7" t="s">
        <v>435</v>
      </c>
      <c r="C31" s="18" t="n">
        <v>11</v>
      </c>
    </row>
    <row r="32" customFormat="false" ht="15" hidden="false" customHeight="false" outlineLevel="0" collapsed="false">
      <c r="A32" s="26" t="s">
        <v>436</v>
      </c>
      <c r="B32" s="7" t="s">
        <v>227</v>
      </c>
      <c r="C32" s="18" t="n">
        <v>1</v>
      </c>
    </row>
    <row r="33" customFormat="false" ht="15" hidden="false" customHeight="false" outlineLevel="0" collapsed="false">
      <c r="A33" s="26" t="s">
        <v>437</v>
      </c>
      <c r="B33" s="7" t="s">
        <v>238</v>
      </c>
      <c r="C33" s="18" t="n">
        <v>2</v>
      </c>
    </row>
    <row r="34" customFormat="false" ht="15" hidden="false" customHeight="false" outlineLevel="0" collapsed="false">
      <c r="A34" s="26" t="s">
        <v>438</v>
      </c>
      <c r="B34" s="7" t="s">
        <v>229</v>
      </c>
      <c r="C34" s="18" t="n">
        <v>3</v>
      </c>
    </row>
    <row r="35" customFormat="false" ht="15" hidden="false" customHeight="false" outlineLevel="0" collapsed="false">
      <c r="A35" s="26" t="s">
        <v>439</v>
      </c>
      <c r="B35" s="7" t="s">
        <v>231</v>
      </c>
      <c r="C35" s="18" t="n">
        <v>2</v>
      </c>
    </row>
    <row r="36" customFormat="false" ht="15" hidden="false" customHeight="false" outlineLevel="0" collapsed="false">
      <c r="A36" s="26" t="s">
        <v>440</v>
      </c>
      <c r="B36" s="7" t="s">
        <v>233</v>
      </c>
      <c r="C36" s="18" t="n">
        <v>1</v>
      </c>
    </row>
    <row r="37" customFormat="false" ht="15" hidden="false" customHeight="false" outlineLevel="0" collapsed="false">
      <c r="A37" s="26" t="s">
        <v>441</v>
      </c>
      <c r="B37" s="7" t="s">
        <v>235</v>
      </c>
      <c r="C37" s="18" t="n">
        <v>2</v>
      </c>
    </row>
    <row r="38" customFormat="false" ht="15" hidden="false" customHeight="false" outlineLevel="0" collapsed="false">
      <c r="A38" s="26" t="s">
        <v>442</v>
      </c>
      <c r="B38" s="7" t="s">
        <v>443</v>
      </c>
      <c r="C38" s="18" t="n">
        <v>50</v>
      </c>
    </row>
    <row r="39" customFormat="false" ht="15" hidden="false" customHeight="false" outlineLevel="0" collapsed="false">
      <c r="A39" s="26" t="s">
        <v>444</v>
      </c>
      <c r="B39" s="7" t="s">
        <v>175</v>
      </c>
      <c r="C39" s="18" t="n">
        <v>87.61</v>
      </c>
    </row>
    <row r="40" customFormat="false" ht="15" hidden="false" customHeight="false" outlineLevel="0" collapsed="false">
      <c r="A40" s="26" t="s">
        <v>445</v>
      </c>
      <c r="B40" s="7" t="s">
        <v>178</v>
      </c>
      <c r="C40" s="18" t="n">
        <v>170.47</v>
      </c>
    </row>
    <row r="41" customFormat="false" ht="15" hidden="false" customHeight="false" outlineLevel="0" collapsed="false">
      <c r="A41" s="26" t="s">
        <v>446</v>
      </c>
      <c r="B41" s="7" t="s">
        <v>180</v>
      </c>
      <c r="C41" s="18" t="n">
        <v>11.65</v>
      </c>
    </row>
    <row r="42" customFormat="false" ht="15" hidden="false" customHeight="false" outlineLevel="0" collapsed="false">
      <c r="A42" s="26" t="s">
        <v>447</v>
      </c>
      <c r="B42" s="7" t="s">
        <v>182</v>
      </c>
      <c r="C42" s="18" t="n">
        <v>22.55</v>
      </c>
    </row>
    <row r="43" customFormat="false" ht="15" hidden="false" customHeight="false" outlineLevel="0" collapsed="false">
      <c r="A43" s="26" t="s">
        <v>448</v>
      </c>
      <c r="B43" s="7" t="s">
        <v>184</v>
      </c>
      <c r="C43" s="18" t="n">
        <v>22.55</v>
      </c>
    </row>
    <row r="44" customFormat="false" ht="15" hidden="false" customHeight="false" outlineLevel="0" collapsed="false">
      <c r="A44" s="26" t="s">
        <v>449</v>
      </c>
      <c r="B44" s="7" t="s">
        <v>450</v>
      </c>
      <c r="C44" s="18" t="n">
        <v>314.83</v>
      </c>
    </row>
    <row r="45" customFormat="false" ht="15" hidden="false" customHeight="false" outlineLevel="0" collapsed="false">
      <c r="A45" s="26" t="s">
        <v>451</v>
      </c>
      <c r="B45" s="7" t="s">
        <v>199</v>
      </c>
      <c r="C45" s="18" t="n">
        <v>71.45</v>
      </c>
    </row>
    <row r="46" customFormat="false" ht="15" hidden="false" customHeight="false" outlineLevel="0" collapsed="false">
      <c r="A46" s="26" t="s">
        <v>452</v>
      </c>
      <c r="B46" s="7" t="s">
        <v>196</v>
      </c>
      <c r="C46" s="18" t="n">
        <v>10</v>
      </c>
    </row>
    <row r="47" customFormat="false" ht="15" hidden="false" customHeight="false" outlineLevel="0" collapsed="false">
      <c r="A47" s="26" t="s">
        <v>453</v>
      </c>
      <c r="B47" s="7" t="s">
        <v>250</v>
      </c>
      <c r="C47" s="18" t="n">
        <v>12</v>
      </c>
    </row>
    <row r="48" customFormat="false" ht="15" hidden="false" customHeight="false" outlineLevel="0" collapsed="false">
      <c r="A48" s="26" t="s">
        <v>454</v>
      </c>
      <c r="B48" s="7" t="s">
        <v>247</v>
      </c>
      <c r="C48" s="18" t="n">
        <v>1</v>
      </c>
    </row>
    <row r="49" customFormat="false" ht="15" hidden="false" customHeight="false" outlineLevel="0" collapsed="false">
      <c r="A49" s="26" t="s">
        <v>455</v>
      </c>
      <c r="B49" s="7" t="s">
        <v>252</v>
      </c>
      <c r="C49" s="18" t="n">
        <v>2</v>
      </c>
    </row>
    <row r="50" customFormat="false" ht="15" hidden="false" customHeight="false" outlineLevel="0" collapsed="false">
      <c r="A50" s="26" t="s">
        <v>456</v>
      </c>
      <c r="B50" s="7" t="s">
        <v>255</v>
      </c>
      <c r="C50" s="18" t="n">
        <v>3</v>
      </c>
    </row>
    <row r="51" customFormat="false" ht="15" hidden="false" customHeight="false" outlineLevel="0" collapsed="false">
      <c r="A51" s="26" t="s">
        <v>457</v>
      </c>
      <c r="B51" s="7" t="s">
        <v>258</v>
      </c>
      <c r="C51" s="18" t="n">
        <v>1</v>
      </c>
    </row>
    <row r="52" customFormat="false" ht="15" hidden="false" customHeight="false" outlineLevel="0" collapsed="false">
      <c r="A52" s="26" t="s">
        <v>458</v>
      </c>
      <c r="B52" s="7" t="s">
        <v>260</v>
      </c>
      <c r="C52" s="18" t="n">
        <v>4.1</v>
      </c>
    </row>
    <row r="53" customFormat="false" ht="15" hidden="false" customHeight="false" outlineLevel="0" collapsed="false">
      <c r="A53" s="26" t="s">
        <v>459</v>
      </c>
      <c r="B53" s="7" t="s">
        <v>168</v>
      </c>
      <c r="C53" s="18" t="n">
        <v>18</v>
      </c>
    </row>
    <row r="54" customFormat="false" ht="15" hidden="false" customHeight="false" outlineLevel="0" collapsed="false">
      <c r="A54" s="26" t="s">
        <v>460</v>
      </c>
      <c r="B54" s="7" t="s">
        <v>273</v>
      </c>
      <c r="C54" s="18" t="n">
        <v>5.24</v>
      </c>
    </row>
    <row r="55" customFormat="false" ht="15" hidden="false" customHeight="false" outlineLevel="0" collapsed="false">
      <c r="A55" s="26" t="s">
        <v>461</v>
      </c>
      <c r="B55" s="7" t="s">
        <v>276</v>
      </c>
      <c r="C55" s="18" t="n">
        <v>3.24</v>
      </c>
    </row>
    <row r="56" customFormat="false" ht="15" hidden="false" customHeight="false" outlineLevel="0" collapsed="false">
      <c r="A56" s="26" t="s">
        <v>462</v>
      </c>
      <c r="B56" s="7" t="s">
        <v>286</v>
      </c>
      <c r="C56" s="18" t="n">
        <v>4.89</v>
      </c>
    </row>
    <row r="57" customFormat="false" ht="15" hidden="false" customHeight="false" outlineLevel="0" collapsed="false">
      <c r="A57" s="26" t="s">
        <v>463</v>
      </c>
      <c r="B57" s="7" t="s">
        <v>289</v>
      </c>
      <c r="C57" s="18" t="n">
        <v>0.67</v>
      </c>
    </row>
    <row r="58" customFormat="false" ht="15" hidden="false" customHeight="false" outlineLevel="0" collapsed="false">
      <c r="A58" s="26" t="s">
        <v>464</v>
      </c>
      <c r="B58" s="7" t="s">
        <v>465</v>
      </c>
      <c r="C58" s="18" t="n">
        <v>23</v>
      </c>
    </row>
    <row r="59" customFormat="false" ht="15" hidden="false" customHeight="false" outlineLevel="0" collapsed="false">
      <c r="A59" s="26" t="s">
        <v>466</v>
      </c>
      <c r="B59" s="7" t="s">
        <v>282</v>
      </c>
      <c r="C59" s="18" t="n">
        <v>8</v>
      </c>
    </row>
    <row r="60" customFormat="false" ht="15" hidden="false" customHeight="false" outlineLevel="0" collapsed="false">
      <c r="A60" s="26" t="s">
        <v>467</v>
      </c>
      <c r="B60" s="7" t="s">
        <v>468</v>
      </c>
      <c r="C60" s="18" t="n">
        <v>5</v>
      </c>
    </row>
    <row r="61" customFormat="false" ht="15" hidden="false" customHeight="false" outlineLevel="0" collapsed="false">
      <c r="A61" s="26" t="s">
        <v>469</v>
      </c>
      <c r="B61" s="7" t="s">
        <v>138</v>
      </c>
      <c r="C61" s="18" t="n">
        <v>14.83</v>
      </c>
    </row>
    <row r="62" customFormat="false" ht="15" hidden="false" customHeight="false" outlineLevel="0" collapsed="false">
      <c r="A62" s="26" t="s">
        <v>470</v>
      </c>
      <c r="B62" s="7" t="s">
        <v>140</v>
      </c>
      <c r="C62" s="18" t="n">
        <v>26.3</v>
      </c>
    </row>
    <row r="63" customFormat="false" ht="15" hidden="false" customHeight="false" outlineLevel="0" collapsed="false">
      <c r="A63" s="26" t="s">
        <v>471</v>
      </c>
      <c r="B63" s="7" t="s">
        <v>142</v>
      </c>
      <c r="C63" s="18" t="n">
        <v>41.13</v>
      </c>
    </row>
    <row r="64" customFormat="false" ht="15" hidden="false" customHeight="false" outlineLevel="0" collapsed="false">
      <c r="A64" s="26" t="s">
        <v>472</v>
      </c>
      <c r="B64" s="7" t="s">
        <v>111</v>
      </c>
      <c r="C64" s="18" t="n">
        <v>49.88</v>
      </c>
    </row>
    <row r="65" customFormat="false" ht="15" hidden="false" customHeight="false" outlineLevel="0" collapsed="false">
      <c r="A65" s="26" t="s">
        <v>473</v>
      </c>
      <c r="B65" s="7" t="s">
        <v>70</v>
      </c>
      <c r="C65" s="18" t="n">
        <v>395.16</v>
      </c>
    </row>
    <row r="66" customFormat="false" ht="15" hidden="false" customHeight="false" outlineLevel="0" collapsed="false">
      <c r="A66" s="26" t="s">
        <v>474</v>
      </c>
      <c r="B66" s="7" t="s">
        <v>85</v>
      </c>
      <c r="C66" s="18" t="n">
        <v>29.8</v>
      </c>
    </row>
    <row r="67" customFormat="false" ht="15" hidden="false" customHeight="false" outlineLevel="0" collapsed="false">
      <c r="A67" s="26" t="s">
        <v>475</v>
      </c>
      <c r="B67" s="7" t="s">
        <v>186</v>
      </c>
      <c r="C67" s="18" t="n">
        <v>303.18</v>
      </c>
    </row>
    <row r="68" customFormat="false" ht="15" hidden="false" customHeight="false" outlineLevel="0" collapsed="false">
      <c r="A68" s="26" t="s">
        <v>476</v>
      </c>
      <c r="B68" s="7" t="s">
        <v>194</v>
      </c>
      <c r="C68" s="18" t="n">
        <v>17</v>
      </c>
    </row>
    <row r="69" customFormat="false" ht="15" hidden="false" customHeight="false" outlineLevel="0" collapsed="false">
      <c r="A69" s="26" t="s">
        <v>477</v>
      </c>
      <c r="B69" s="7" t="s">
        <v>192</v>
      </c>
      <c r="C69" s="18" t="n">
        <v>33</v>
      </c>
    </row>
    <row r="70" customFormat="false" ht="15" hidden="false" customHeight="false" outlineLevel="0" collapsed="false">
      <c r="A70" s="26" t="s">
        <v>478</v>
      </c>
      <c r="B70" s="7" t="s">
        <v>327</v>
      </c>
      <c r="C70" s="18" t="n">
        <v>32.4</v>
      </c>
    </row>
    <row r="71" customFormat="false" ht="15" hidden="false" customHeight="false" outlineLevel="0" collapsed="false">
      <c r="A71" s="26" t="s">
        <v>479</v>
      </c>
      <c r="B71" s="7" t="s">
        <v>329</v>
      </c>
      <c r="C71" s="18" t="n">
        <v>9</v>
      </c>
    </row>
    <row r="72" customFormat="false" ht="15" hidden="false" customHeight="false" outlineLevel="0" collapsed="false">
      <c r="A72" s="26" t="s">
        <v>480</v>
      </c>
      <c r="B72" s="7" t="s">
        <v>331</v>
      </c>
      <c r="C72" s="18" t="n">
        <v>20</v>
      </c>
    </row>
    <row r="73" customFormat="false" ht="15" hidden="false" customHeight="false" outlineLevel="0" collapsed="false">
      <c r="A73" s="26" t="s">
        <v>481</v>
      </c>
      <c r="B73" s="7" t="s">
        <v>278</v>
      </c>
      <c r="C73" s="18" t="n">
        <v>8.48</v>
      </c>
    </row>
    <row r="74" customFormat="false" ht="15" hidden="false" customHeight="false" outlineLevel="0" collapsed="false">
      <c r="A74" s="26" t="s">
        <v>482</v>
      </c>
      <c r="B74" s="7" t="s">
        <v>294</v>
      </c>
      <c r="C74" s="18" t="n">
        <v>14.04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2026-10-25T17:27:31Z</dcterms:created>
  <dc:creator>openpyxl</dc:creator>
  <dc:description/>
  <dc:language>en-US</dc:language>
  <cp:lastModifiedBy/>
  <dcterms:modified xsi:type="dcterms:W3CDTF">2026-10-25T17:27:31Z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